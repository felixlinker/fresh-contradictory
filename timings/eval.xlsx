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linker/git/variant-restrictions/timings/"/>
    </mc:Choice>
  </mc:AlternateContent>
  <xr:revisionPtr revIDLastSave="0" documentId="13_ncr:1_{B2E5ACDB-8350-B34A-9148-6F0EFC52E520}" xr6:coauthVersionLast="47" xr6:coauthVersionMax="47" xr10:uidLastSave="{00000000-0000-0000-0000-000000000000}"/>
  <bookViews>
    <workbookView xWindow="-4540" yWindow="-20980" windowWidth="33720" windowHeight="20980" activeTab="2" xr2:uid="{3DB891B5-6F67-014B-8918-C3F2D8F1EF1C}"/>
  </bookViews>
  <sheets>
    <sheet name="Sheet2" sheetId="2" r:id="rId1"/>
    <sheet name="prove" sheetId="3" r:id="rId2"/>
    <sheet name="precomp" sheetId="4" r:id="rId3"/>
    <sheet name="results" sheetId="1" r:id="rId4"/>
  </sheets>
  <definedNames>
    <definedName name="_xlchart.v1.0" hidden="1">prove!$D$1</definedName>
    <definedName name="_xlchart.v1.1" hidden="1">prove!$D$2:$D$20</definedName>
    <definedName name="_xlchart.v1.2" hidden="1">prove!$E$1</definedName>
    <definedName name="_xlchart.v1.3" hidden="1">prove!$E$2:$E$20</definedName>
    <definedName name="_xlchart.v1.4" hidden="1">precomp!$E$1</definedName>
    <definedName name="_xlchart.v1.5" hidden="1">precomp!$E$2:$E$20</definedName>
    <definedName name="_xlchart.v1.6" hidden="1">precomp!$D$1</definedName>
    <definedName name="_xlchart.v1.7" hidden="1">precomp!$D$2:$D$20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7" i="4"/>
  <c r="E8" i="4"/>
  <c r="E19" i="4"/>
  <c r="E17" i="4"/>
  <c r="E13" i="4"/>
  <c r="E12" i="4"/>
  <c r="E9" i="4"/>
  <c r="E5" i="4"/>
  <c r="E6" i="4"/>
  <c r="E20" i="4"/>
  <c r="E4" i="4"/>
  <c r="E11" i="4"/>
  <c r="E10" i="4"/>
  <c r="E14" i="4"/>
  <c r="E15" i="4"/>
  <c r="E16" i="4"/>
  <c r="E18" i="4"/>
  <c r="D2" i="3"/>
  <c r="D3" i="3"/>
  <c r="D12" i="3"/>
  <c r="D11" i="3"/>
  <c r="D13" i="3"/>
  <c r="D14" i="3"/>
  <c r="D20" i="3"/>
  <c r="D10" i="3"/>
  <c r="D19" i="3"/>
  <c r="D4" i="3"/>
  <c r="D5" i="3"/>
  <c r="D15" i="3"/>
  <c r="D16" i="3"/>
  <c r="D8" i="3"/>
  <c r="D7" i="3"/>
  <c r="D6" i="3"/>
  <c r="D9" i="3"/>
  <c r="D18" i="3"/>
  <c r="D17" i="3"/>
  <c r="E2" i="3"/>
  <c r="E3" i="3"/>
  <c r="E12" i="3"/>
  <c r="E11" i="3"/>
  <c r="E13" i="3"/>
  <c r="E14" i="3"/>
  <c r="E20" i="3"/>
  <c r="E10" i="3"/>
  <c r="E19" i="3"/>
  <c r="E4" i="3"/>
  <c r="E5" i="3"/>
  <c r="E15" i="3"/>
  <c r="E16" i="3"/>
  <c r="E8" i="3"/>
  <c r="E7" i="3"/>
  <c r="E6" i="3"/>
  <c r="E9" i="3"/>
  <c r="E18" i="3"/>
  <c r="E17" i="3"/>
  <c r="D2" i="4"/>
  <c r="D3" i="4"/>
  <c r="D7" i="4"/>
  <c r="D8" i="4"/>
  <c r="D19" i="4"/>
  <c r="D17" i="4"/>
  <c r="D13" i="4"/>
  <c r="D12" i="4"/>
  <c r="D9" i="4"/>
  <c r="D5" i="4"/>
  <c r="D6" i="4"/>
  <c r="D20" i="4"/>
  <c r="D4" i="4"/>
  <c r="D11" i="4"/>
  <c r="D10" i="4"/>
  <c r="D14" i="4"/>
  <c r="D15" i="4"/>
  <c r="D16" i="4"/>
  <c r="D18" i="4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39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3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27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18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164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10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5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E21" i="4" l="1"/>
  <c r="E21" i="3"/>
</calcChain>
</file>

<file path=xl/sharedStrings.xml><?xml version="1.0" encoding="utf-8"?>
<sst xmlns="http://schemas.openxmlformats.org/spreadsheetml/2006/main" count="1488" uniqueCount="38">
  <si>
    <t>DHKEA_NAXOS_C_eCK_PFS_keyreg_partially_matching.spthy</t>
  </si>
  <si>
    <t>DHKEA_NAXOS_C_eCK_PFS_partially_matching.spthy</t>
  </si>
  <si>
    <t>NAXOS_eCK.spthy</t>
  </si>
  <si>
    <t>NAXOS_eCK_PFS.spthy</t>
  </si>
  <si>
    <t>UM_one_pass_attack.spthy</t>
  </si>
  <si>
    <t>UM_one_pass_fix.spthy</t>
  </si>
  <si>
    <t>UM_three_pass.spthy</t>
  </si>
  <si>
    <t>UM_three_pass_combined.spthy</t>
  </si>
  <si>
    <t>UM_three_pass_combined_fixed.spthy</t>
  </si>
  <si>
    <t>Theory</t>
  </si>
  <si>
    <t>User</t>
  </si>
  <si>
    <t>Sys</t>
  </si>
  <si>
    <t>Prove?</t>
  </si>
  <si>
    <t>Optimized?</t>
  </si>
  <si>
    <t>Row Labels</t>
  </si>
  <si>
    <t>Grand Total</t>
  </si>
  <si>
    <t>Sum</t>
  </si>
  <si>
    <t>Column Labels</t>
  </si>
  <si>
    <t>PRECOMP</t>
  </si>
  <si>
    <t>OLD</t>
  </si>
  <si>
    <t>NEW</t>
  </si>
  <si>
    <t>PROVE</t>
  </si>
  <si>
    <t>Chen_Kudla.spthy</t>
  </si>
  <si>
    <t>Chen_Kudla_eCK.spthy</t>
  </si>
  <si>
    <t>Joux.spthy</t>
  </si>
  <si>
    <t>Joux_EphkRev.spthy</t>
  </si>
  <si>
    <t>RYY.spthy</t>
  </si>
  <si>
    <t>RYY_PFS.spthy</t>
  </si>
  <si>
    <t>Scott.spthy</t>
  </si>
  <si>
    <t>Scott_EphkRev.spthy</t>
  </si>
  <si>
    <t>TAK1.spthy</t>
  </si>
  <si>
    <t>TAK1_eCK_like.spthy</t>
  </si>
  <si>
    <t>Sum of Sum</t>
  </si>
  <si>
    <t>Old</t>
  </si>
  <si>
    <t>New</t>
  </si>
  <si>
    <t>Total</t>
  </si>
  <si>
    <t>Speedup Relative</t>
  </si>
  <si>
    <t>Speedup 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</si>
</sst>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\ &quot;s&quot;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11">
    <dxf>
      <numFmt numFmtId="164" formatCode="0.0%"/>
    </dxf>
    <dxf>
      <numFmt numFmtId="165" formatCode="0.00\ &quot;s&quot;"/>
    </dxf>
    <dxf>
      <numFmt numFmtId="164" formatCode="0.0%"/>
    </dxf>
    <dxf>
      <numFmt numFmtId="165" formatCode="0.00\ &quot;s&quot;"/>
    </dxf>
    <dxf>
      <numFmt numFmtId="0" formatCode="General"/>
    </dxf>
    <dxf>
      <numFmt numFmtId="164" formatCode="0.0%"/>
    </dxf>
    <dxf>
      <numFmt numFmtId="165" formatCode="0.00\ &quot;s&quot;"/>
    </dxf>
    <dxf>
      <numFmt numFmtId="165" formatCode="0.00\ &quot;s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numFmt numFmtId="165" formatCode="0.00\ &quot;s&quot;"/>
    </dxf>
    <dxf>
      <numFmt numFmtId="165" formatCode="0.00\ &quot;s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E45AC5B5-D6F2-8A47-A0BE-15A0BBE64F69}">
          <cx:tx>
            <cx:txData>
              <cx:f>_xlchart.v1.2</cx:f>
              <cx:v>Speedup Relative</cx:v>
            </cx:txData>
          </cx:tx>
          <cx:dataLabels pos="r"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0" i="0">
                    <a:solidFill>
                      <a:srgbClr val="40404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.10000002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6AF84F9E-4D9A-484B-8A7A-D775C77494EC}">
          <cx:tx>
            <cx:txData>
              <cx:f>_xlchart.v1.0</cx:f>
              <cx:v>Speedup Absolute</cx:v>
            </cx:txData>
          </cx:tx>
          <cx:dataLabels pos="r"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0" i="0">
                    <a:solidFill>
                      <a:srgbClr val="40404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  <cx:dataLabelHidden idx="4"/>
          </cx:dataLabels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.10000002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CC4050E1-099E-B34B-BA45-73A49BC9BC22}">
          <cx:tx>
            <cx:txData>
              <cx:f>_xlchart.v1.4</cx:f>
              <cx:v>Speedup Relative</cx:v>
            </cx:txData>
          </cx:tx>
          <cx:dataLabels pos="r"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0" i="0">
                    <a:solidFill>
                      <a:srgbClr val="40404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.10000002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boxWhisker" uniqueId="{9B7B0826-150D-6C46-A5A9-3040F4C0EAEA}">
          <cx:tx>
            <cx:txData>
              <cx:f>_xlchart.v1.6</cx:f>
              <cx:v>Speedup Absolute</cx:v>
            </cx:txData>
          </cx:tx>
          <cx:dataLabels pos="r"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0" i="0">
                    <a:solidFill>
                      <a:srgbClr val="40404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  <cx:dataLabelHidden idx="3"/>
            <cx:dataLabelHidden idx="17"/>
            <cx:dataLabelHidden idx="19"/>
            <cx:dataLabelHidden idx="20"/>
            <cx:dataLabelHidden idx="21"/>
          </cx:dataLabels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.10000002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535333</xdr:colOff>
      <xdr:row>0</xdr:row>
      <xdr:rowOff>109606</xdr:rowOff>
    </xdr:from>
    <xdr:to>
      <xdr:col>12</xdr:col>
      <xdr:colOff>344833</xdr:colOff>
      <xdr:row>20</xdr:row>
      <xdr:rowOff>160406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EF36EA4-B9BB-E2A1-D5CE-A71CECE5ED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1833" y="109606"/>
              <a:ext cx="2286000" cy="411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177800</xdr:colOff>
      <xdr:row>0</xdr:row>
      <xdr:rowOff>120650</xdr:rowOff>
    </xdr:from>
    <xdr:to>
      <xdr:col>8</xdr:col>
      <xdr:colOff>812800</xdr:colOff>
      <xdr:row>20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0F4D9DF-E74F-9B7E-7E87-EAE11C63EB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7800" y="120650"/>
              <a:ext cx="2286000" cy="411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133350</xdr:rowOff>
    </xdr:from>
    <xdr:to>
      <xdr:col>11</xdr:col>
      <xdr:colOff>192129</xdr:colOff>
      <xdr:row>21</xdr:row>
      <xdr:rowOff>123363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DE4DF6B-78D3-110C-084C-93058B78B3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37900" y="336550"/>
              <a:ext cx="2287629" cy="4054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381000</xdr:colOff>
      <xdr:row>1</xdr:row>
      <xdr:rowOff>158750</xdr:rowOff>
    </xdr:from>
    <xdr:to>
      <xdr:col>7</xdr:col>
      <xdr:colOff>506915</xdr:colOff>
      <xdr:row>21</xdr:row>
      <xdr:rowOff>148763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3036DB7-5926-992C-5C3E-7578FC15CB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53400" y="361950"/>
              <a:ext cx="2284915" cy="4054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x Linker" refreshedDate="46064.55997800926" createdVersion="8" refreshedVersion="8" minRefreshableVersion="3" recordCount="456" xr:uid="{1F4EB417-BDC0-204B-AD63-5533851CB806}">
  <cacheSource type="worksheet">
    <worksheetSource name="Table3"/>
  </cacheSource>
  <cacheFields count="6">
    <cacheField name="Prove?" numFmtId="0">
      <sharedItems count="4">
        <s v="PRECOMP"/>
        <s v="PROVE"/>
        <b v="0" u="1"/>
        <b v="1" u="1"/>
      </sharedItems>
    </cacheField>
    <cacheField name="Optimized?" numFmtId="0">
      <sharedItems count="4">
        <s v="OLD"/>
        <s v="NEW"/>
        <b v="0" u="1"/>
        <b v="1" u="1"/>
      </sharedItems>
    </cacheField>
    <cacheField name="Theory" numFmtId="0">
      <sharedItems count="19">
        <s v="DHKEA_NAXOS_C_eCK_PFS_keyreg_partially_matching.spthy"/>
        <s v="DHKEA_NAXOS_C_eCK_PFS_partially_matching.spthy"/>
        <s v="NAXOS_eCK.spthy"/>
        <s v="NAXOS_eCK_PFS.spthy"/>
        <s v="UM_one_pass_attack.spthy"/>
        <s v="UM_one_pass_fix.spthy"/>
        <s v="UM_three_pass.spthy"/>
        <s v="UM_three_pass_combined.spthy"/>
        <s v="UM_three_pass_combined_fixed.spthy"/>
        <s v="Chen_Kudla.spthy"/>
        <s v="Chen_Kudla_eCK.spthy"/>
        <s v="Joux.spthy"/>
        <s v="Joux_EphkRev.spthy"/>
        <s v="RYY.spthy"/>
        <s v="RYY_PFS.spthy"/>
        <s v="Scott.spthy"/>
        <s v="Scott_EphkRev.spthy"/>
        <s v="TAK1.spthy"/>
        <s v="TAK1_eCK_like.spthy"/>
      </sharedItems>
    </cacheField>
    <cacheField name="User" numFmtId="0">
      <sharedItems containsSemiMixedTypes="0" containsString="0" containsNumber="1" minValue="0.06" maxValue="87.99"/>
    </cacheField>
    <cacheField name="Sys" numFmtId="0">
      <sharedItems containsSemiMixedTypes="0" containsString="0" containsNumber="1" minValue="0.03" maxValue="20.03"/>
    </cacheField>
    <cacheField name="Sum" numFmtId="0">
      <sharedItems containsSemiMixedTypes="0" containsString="0" containsNumber="1" minValue="0.09" maxValue="10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x v="0"/>
    <x v="0"/>
    <n v="11.49"/>
    <n v="7.25"/>
    <n v="18.740000000000002"/>
  </r>
  <r>
    <x v="0"/>
    <x v="0"/>
    <x v="1"/>
    <n v="11.43"/>
    <n v="7.2"/>
    <n v="18.63"/>
  </r>
  <r>
    <x v="0"/>
    <x v="0"/>
    <x v="2"/>
    <n v="0.21"/>
    <n v="0.11"/>
    <n v="0.32"/>
  </r>
  <r>
    <x v="0"/>
    <x v="0"/>
    <x v="3"/>
    <n v="0.21"/>
    <n v="0.11"/>
    <n v="0.32"/>
  </r>
  <r>
    <x v="0"/>
    <x v="0"/>
    <x v="4"/>
    <n v="7.0000000000000007E-2"/>
    <n v="0.03"/>
    <n v="0.1"/>
  </r>
  <r>
    <x v="0"/>
    <x v="0"/>
    <x v="5"/>
    <n v="7.0000000000000007E-2"/>
    <n v="0.03"/>
    <n v="0.1"/>
  </r>
  <r>
    <x v="0"/>
    <x v="0"/>
    <x v="6"/>
    <n v="0.24"/>
    <n v="0.08"/>
    <n v="0.32"/>
  </r>
  <r>
    <x v="0"/>
    <x v="0"/>
    <x v="7"/>
    <n v="0.28999999999999998"/>
    <n v="0.11"/>
    <n v="0.39999999999999997"/>
  </r>
  <r>
    <x v="0"/>
    <x v="0"/>
    <x v="8"/>
    <n v="0.22"/>
    <n v="0.1"/>
    <n v="0.32"/>
  </r>
  <r>
    <x v="0"/>
    <x v="0"/>
    <x v="0"/>
    <n v="11.48"/>
    <n v="7.22"/>
    <n v="18.7"/>
  </r>
  <r>
    <x v="0"/>
    <x v="0"/>
    <x v="1"/>
    <n v="11.4"/>
    <n v="7.27"/>
    <n v="18.670000000000002"/>
  </r>
  <r>
    <x v="0"/>
    <x v="0"/>
    <x v="2"/>
    <n v="0.21"/>
    <n v="0.1"/>
    <n v="0.31"/>
  </r>
  <r>
    <x v="0"/>
    <x v="0"/>
    <x v="3"/>
    <n v="0.21"/>
    <n v="0.1"/>
    <n v="0.31"/>
  </r>
  <r>
    <x v="0"/>
    <x v="0"/>
    <x v="4"/>
    <n v="7.0000000000000007E-2"/>
    <n v="0.03"/>
    <n v="0.1"/>
  </r>
  <r>
    <x v="0"/>
    <x v="0"/>
    <x v="5"/>
    <n v="7.0000000000000007E-2"/>
    <n v="0.03"/>
    <n v="0.1"/>
  </r>
  <r>
    <x v="0"/>
    <x v="0"/>
    <x v="6"/>
    <n v="0.23"/>
    <n v="0.08"/>
    <n v="0.31"/>
  </r>
  <r>
    <x v="0"/>
    <x v="0"/>
    <x v="7"/>
    <n v="0.28999999999999998"/>
    <n v="0.11"/>
    <n v="0.39999999999999997"/>
  </r>
  <r>
    <x v="0"/>
    <x v="0"/>
    <x v="8"/>
    <n v="0.22"/>
    <n v="0.1"/>
    <n v="0.32"/>
  </r>
  <r>
    <x v="0"/>
    <x v="0"/>
    <x v="0"/>
    <n v="11.45"/>
    <n v="7.27"/>
    <n v="18.72"/>
  </r>
  <r>
    <x v="0"/>
    <x v="0"/>
    <x v="1"/>
    <n v="11.84"/>
    <n v="7.19"/>
    <n v="19.03"/>
  </r>
  <r>
    <x v="0"/>
    <x v="0"/>
    <x v="2"/>
    <n v="0.24"/>
    <n v="0.12"/>
    <n v="0.36"/>
  </r>
  <r>
    <x v="0"/>
    <x v="0"/>
    <x v="3"/>
    <n v="0.23"/>
    <n v="0.11"/>
    <n v="0.34"/>
  </r>
  <r>
    <x v="0"/>
    <x v="0"/>
    <x v="4"/>
    <n v="0.08"/>
    <n v="0.03"/>
    <n v="0.11"/>
  </r>
  <r>
    <x v="0"/>
    <x v="0"/>
    <x v="5"/>
    <n v="0.08"/>
    <n v="0.04"/>
    <n v="0.12"/>
  </r>
  <r>
    <x v="0"/>
    <x v="0"/>
    <x v="6"/>
    <n v="0.25"/>
    <n v="0.09"/>
    <n v="0.33999999999999997"/>
  </r>
  <r>
    <x v="0"/>
    <x v="0"/>
    <x v="7"/>
    <n v="0.31"/>
    <n v="0.11"/>
    <n v="0.42"/>
  </r>
  <r>
    <x v="0"/>
    <x v="0"/>
    <x v="8"/>
    <n v="0.23"/>
    <n v="0.11"/>
    <n v="0.34"/>
  </r>
  <r>
    <x v="0"/>
    <x v="0"/>
    <x v="0"/>
    <n v="11.95"/>
    <n v="7.48"/>
    <n v="19.43"/>
  </r>
  <r>
    <x v="0"/>
    <x v="0"/>
    <x v="1"/>
    <n v="11.81"/>
    <n v="7.37"/>
    <n v="19.18"/>
  </r>
  <r>
    <x v="0"/>
    <x v="0"/>
    <x v="2"/>
    <n v="0.22"/>
    <n v="0.11"/>
    <n v="0.33"/>
  </r>
  <r>
    <x v="0"/>
    <x v="0"/>
    <x v="3"/>
    <n v="0.23"/>
    <n v="0.12"/>
    <n v="0.35"/>
  </r>
  <r>
    <x v="0"/>
    <x v="0"/>
    <x v="4"/>
    <n v="7.0000000000000007E-2"/>
    <n v="0.03"/>
    <n v="0.1"/>
  </r>
  <r>
    <x v="0"/>
    <x v="0"/>
    <x v="5"/>
    <n v="7.0000000000000007E-2"/>
    <n v="0.03"/>
    <n v="0.1"/>
  </r>
  <r>
    <x v="0"/>
    <x v="0"/>
    <x v="6"/>
    <n v="0.24"/>
    <n v="0.09"/>
    <n v="0.32999999999999996"/>
  </r>
  <r>
    <x v="0"/>
    <x v="0"/>
    <x v="7"/>
    <n v="0.3"/>
    <n v="0.11"/>
    <n v="0.41"/>
  </r>
  <r>
    <x v="0"/>
    <x v="0"/>
    <x v="8"/>
    <n v="0.22"/>
    <n v="0.1"/>
    <n v="0.32"/>
  </r>
  <r>
    <x v="0"/>
    <x v="0"/>
    <x v="0"/>
    <n v="11.8"/>
    <n v="7.24"/>
    <n v="19.04"/>
  </r>
  <r>
    <x v="0"/>
    <x v="0"/>
    <x v="1"/>
    <n v="11.77"/>
    <n v="7.32"/>
    <n v="19.09"/>
  </r>
  <r>
    <x v="0"/>
    <x v="0"/>
    <x v="2"/>
    <n v="0.21"/>
    <n v="0.11"/>
    <n v="0.32"/>
  </r>
  <r>
    <x v="0"/>
    <x v="0"/>
    <x v="3"/>
    <n v="0.22"/>
    <n v="0.11"/>
    <n v="0.33"/>
  </r>
  <r>
    <x v="0"/>
    <x v="0"/>
    <x v="4"/>
    <n v="7.0000000000000007E-2"/>
    <n v="0.03"/>
    <n v="0.1"/>
  </r>
  <r>
    <x v="0"/>
    <x v="0"/>
    <x v="5"/>
    <n v="7.0000000000000007E-2"/>
    <n v="0.03"/>
    <n v="0.1"/>
  </r>
  <r>
    <x v="0"/>
    <x v="0"/>
    <x v="6"/>
    <n v="0.17"/>
    <n v="7.0000000000000007E-2"/>
    <n v="0.24000000000000002"/>
  </r>
  <r>
    <x v="0"/>
    <x v="0"/>
    <x v="7"/>
    <n v="0.28999999999999998"/>
    <n v="0.11"/>
    <n v="0.39999999999999997"/>
  </r>
  <r>
    <x v="0"/>
    <x v="0"/>
    <x v="8"/>
    <n v="0.22"/>
    <n v="0.1"/>
    <n v="0.32"/>
  </r>
  <r>
    <x v="0"/>
    <x v="0"/>
    <x v="0"/>
    <n v="11.81"/>
    <n v="7.42"/>
    <n v="19.23"/>
  </r>
  <r>
    <x v="0"/>
    <x v="0"/>
    <x v="1"/>
    <n v="11.77"/>
    <n v="6.94"/>
    <n v="18.71"/>
  </r>
  <r>
    <x v="0"/>
    <x v="0"/>
    <x v="2"/>
    <n v="0.21"/>
    <n v="0.11"/>
    <n v="0.32"/>
  </r>
  <r>
    <x v="0"/>
    <x v="0"/>
    <x v="3"/>
    <n v="0.22"/>
    <n v="0.11"/>
    <n v="0.33"/>
  </r>
  <r>
    <x v="0"/>
    <x v="0"/>
    <x v="4"/>
    <n v="7.0000000000000007E-2"/>
    <n v="0.03"/>
    <n v="0.1"/>
  </r>
  <r>
    <x v="0"/>
    <x v="0"/>
    <x v="5"/>
    <n v="7.0000000000000007E-2"/>
    <n v="0.03"/>
    <n v="0.1"/>
  </r>
  <r>
    <x v="0"/>
    <x v="0"/>
    <x v="6"/>
    <n v="0.24"/>
    <n v="0.08"/>
    <n v="0.32"/>
  </r>
  <r>
    <x v="0"/>
    <x v="0"/>
    <x v="7"/>
    <n v="0.3"/>
    <n v="0.11"/>
    <n v="0.41"/>
  </r>
  <r>
    <x v="0"/>
    <x v="0"/>
    <x v="8"/>
    <n v="0.22"/>
    <n v="0.1"/>
    <n v="0.32"/>
  </r>
  <r>
    <x v="0"/>
    <x v="1"/>
    <x v="0"/>
    <n v="3.69"/>
    <n v="2.37"/>
    <n v="6.0600000000000005"/>
  </r>
  <r>
    <x v="0"/>
    <x v="1"/>
    <x v="1"/>
    <n v="3.68"/>
    <n v="2.36"/>
    <n v="6.04"/>
  </r>
  <r>
    <x v="0"/>
    <x v="1"/>
    <x v="2"/>
    <n v="0.14000000000000001"/>
    <n v="7.0000000000000007E-2"/>
    <n v="0.21000000000000002"/>
  </r>
  <r>
    <x v="0"/>
    <x v="1"/>
    <x v="3"/>
    <n v="0.14000000000000001"/>
    <n v="7.0000000000000007E-2"/>
    <n v="0.21000000000000002"/>
  </r>
  <r>
    <x v="0"/>
    <x v="1"/>
    <x v="4"/>
    <n v="7.0000000000000007E-2"/>
    <n v="0.03"/>
    <n v="0.1"/>
  </r>
  <r>
    <x v="0"/>
    <x v="1"/>
    <x v="5"/>
    <n v="7.0000000000000007E-2"/>
    <n v="0.03"/>
    <n v="0.1"/>
  </r>
  <r>
    <x v="0"/>
    <x v="1"/>
    <x v="6"/>
    <n v="0.15"/>
    <n v="7.0000000000000007E-2"/>
    <n v="0.22"/>
  </r>
  <r>
    <x v="0"/>
    <x v="1"/>
    <x v="7"/>
    <n v="0.27"/>
    <n v="0.1"/>
    <n v="0.37"/>
  </r>
  <r>
    <x v="0"/>
    <x v="1"/>
    <x v="8"/>
    <n v="0.2"/>
    <n v="0.1"/>
    <n v="0.30000000000000004"/>
  </r>
  <r>
    <x v="0"/>
    <x v="1"/>
    <x v="0"/>
    <n v="3.7"/>
    <n v="2.4300000000000002"/>
    <n v="6.1300000000000008"/>
  </r>
  <r>
    <x v="0"/>
    <x v="1"/>
    <x v="1"/>
    <n v="3.67"/>
    <n v="2.35"/>
    <n v="6.02"/>
  </r>
  <r>
    <x v="0"/>
    <x v="1"/>
    <x v="2"/>
    <n v="0.14000000000000001"/>
    <n v="7.0000000000000007E-2"/>
    <n v="0.21000000000000002"/>
  </r>
  <r>
    <x v="0"/>
    <x v="1"/>
    <x v="3"/>
    <n v="0.14000000000000001"/>
    <n v="7.0000000000000007E-2"/>
    <n v="0.21000000000000002"/>
  </r>
  <r>
    <x v="0"/>
    <x v="1"/>
    <x v="4"/>
    <n v="7.0000000000000007E-2"/>
    <n v="0.03"/>
    <n v="0.1"/>
  </r>
  <r>
    <x v="0"/>
    <x v="1"/>
    <x v="5"/>
    <n v="7.0000000000000007E-2"/>
    <n v="0.03"/>
    <n v="0.1"/>
  </r>
  <r>
    <x v="0"/>
    <x v="1"/>
    <x v="6"/>
    <n v="0.15"/>
    <n v="0.06"/>
    <n v="0.21"/>
  </r>
  <r>
    <x v="0"/>
    <x v="1"/>
    <x v="7"/>
    <n v="0.27"/>
    <n v="0.1"/>
    <n v="0.37"/>
  </r>
  <r>
    <x v="0"/>
    <x v="1"/>
    <x v="8"/>
    <n v="0.2"/>
    <n v="0.09"/>
    <n v="0.29000000000000004"/>
  </r>
  <r>
    <x v="0"/>
    <x v="1"/>
    <x v="0"/>
    <n v="3.68"/>
    <n v="2.4"/>
    <n v="6.08"/>
  </r>
  <r>
    <x v="0"/>
    <x v="1"/>
    <x v="1"/>
    <n v="3.68"/>
    <n v="2.34"/>
    <n v="6.02"/>
  </r>
  <r>
    <x v="0"/>
    <x v="1"/>
    <x v="2"/>
    <n v="0.15"/>
    <n v="0.08"/>
    <n v="0.22999999999999998"/>
  </r>
  <r>
    <x v="0"/>
    <x v="1"/>
    <x v="3"/>
    <n v="0.15"/>
    <n v="7.0000000000000007E-2"/>
    <n v="0.22"/>
  </r>
  <r>
    <x v="0"/>
    <x v="1"/>
    <x v="4"/>
    <n v="7.0000000000000007E-2"/>
    <n v="0.03"/>
    <n v="0.1"/>
  </r>
  <r>
    <x v="0"/>
    <x v="1"/>
    <x v="5"/>
    <n v="7.0000000000000007E-2"/>
    <n v="0.03"/>
    <n v="0.1"/>
  </r>
  <r>
    <x v="0"/>
    <x v="1"/>
    <x v="6"/>
    <n v="0.22"/>
    <n v="0.08"/>
    <n v="0.3"/>
  </r>
  <r>
    <x v="0"/>
    <x v="1"/>
    <x v="7"/>
    <n v="0.27"/>
    <n v="0.1"/>
    <n v="0.37"/>
  </r>
  <r>
    <x v="0"/>
    <x v="1"/>
    <x v="8"/>
    <n v="0.2"/>
    <n v="0.09"/>
    <n v="0.29000000000000004"/>
  </r>
  <r>
    <x v="0"/>
    <x v="1"/>
    <x v="0"/>
    <n v="3.66"/>
    <n v="2.39"/>
    <n v="6.0500000000000007"/>
  </r>
  <r>
    <x v="0"/>
    <x v="1"/>
    <x v="1"/>
    <n v="3.64"/>
    <n v="2.37"/>
    <n v="6.01"/>
  </r>
  <r>
    <x v="0"/>
    <x v="1"/>
    <x v="2"/>
    <n v="0.14000000000000001"/>
    <n v="7.0000000000000007E-2"/>
    <n v="0.21000000000000002"/>
  </r>
  <r>
    <x v="0"/>
    <x v="1"/>
    <x v="3"/>
    <n v="0.14000000000000001"/>
    <n v="7.0000000000000007E-2"/>
    <n v="0.21000000000000002"/>
  </r>
  <r>
    <x v="0"/>
    <x v="1"/>
    <x v="4"/>
    <n v="7.0000000000000007E-2"/>
    <n v="0.03"/>
    <n v="0.1"/>
  </r>
  <r>
    <x v="0"/>
    <x v="1"/>
    <x v="5"/>
    <n v="7.0000000000000007E-2"/>
    <n v="0.03"/>
    <n v="0.1"/>
  </r>
  <r>
    <x v="0"/>
    <x v="1"/>
    <x v="6"/>
    <n v="0.15"/>
    <n v="0.06"/>
    <n v="0.21"/>
  </r>
  <r>
    <x v="0"/>
    <x v="1"/>
    <x v="7"/>
    <n v="0.28000000000000003"/>
    <n v="0.1"/>
    <n v="0.38"/>
  </r>
  <r>
    <x v="0"/>
    <x v="1"/>
    <x v="8"/>
    <n v="0.2"/>
    <n v="0.09"/>
    <n v="0.29000000000000004"/>
  </r>
  <r>
    <x v="0"/>
    <x v="1"/>
    <x v="0"/>
    <n v="3.67"/>
    <n v="2.36"/>
    <n v="6.0299999999999994"/>
  </r>
  <r>
    <x v="0"/>
    <x v="1"/>
    <x v="1"/>
    <n v="3.64"/>
    <n v="2.37"/>
    <n v="6.01"/>
  </r>
  <r>
    <x v="0"/>
    <x v="1"/>
    <x v="2"/>
    <n v="0.14000000000000001"/>
    <n v="7.0000000000000007E-2"/>
    <n v="0.21000000000000002"/>
  </r>
  <r>
    <x v="0"/>
    <x v="1"/>
    <x v="3"/>
    <n v="0.14000000000000001"/>
    <n v="7.0000000000000007E-2"/>
    <n v="0.21000000000000002"/>
  </r>
  <r>
    <x v="0"/>
    <x v="1"/>
    <x v="4"/>
    <n v="7.0000000000000007E-2"/>
    <n v="0.03"/>
    <n v="0.1"/>
  </r>
  <r>
    <x v="0"/>
    <x v="1"/>
    <x v="5"/>
    <n v="7.0000000000000007E-2"/>
    <n v="0.03"/>
    <n v="0.1"/>
  </r>
  <r>
    <x v="0"/>
    <x v="1"/>
    <x v="6"/>
    <n v="0.15"/>
    <n v="0.06"/>
    <n v="0.21"/>
  </r>
  <r>
    <x v="0"/>
    <x v="1"/>
    <x v="7"/>
    <n v="0.27"/>
    <n v="0.1"/>
    <n v="0.37"/>
  </r>
  <r>
    <x v="0"/>
    <x v="1"/>
    <x v="8"/>
    <n v="0.2"/>
    <n v="0.09"/>
    <n v="0.29000000000000004"/>
  </r>
  <r>
    <x v="0"/>
    <x v="1"/>
    <x v="0"/>
    <n v="3.63"/>
    <n v="2.34"/>
    <n v="5.97"/>
  </r>
  <r>
    <x v="0"/>
    <x v="1"/>
    <x v="1"/>
    <n v="3.64"/>
    <n v="2.35"/>
    <n v="5.99"/>
  </r>
  <r>
    <x v="0"/>
    <x v="1"/>
    <x v="2"/>
    <n v="0.14000000000000001"/>
    <n v="0.08"/>
    <n v="0.22000000000000003"/>
  </r>
  <r>
    <x v="0"/>
    <x v="1"/>
    <x v="3"/>
    <n v="0.14000000000000001"/>
    <n v="7.0000000000000007E-2"/>
    <n v="0.21000000000000002"/>
  </r>
  <r>
    <x v="0"/>
    <x v="1"/>
    <x v="4"/>
    <n v="7.0000000000000007E-2"/>
    <n v="0.03"/>
    <n v="0.1"/>
  </r>
  <r>
    <x v="0"/>
    <x v="1"/>
    <x v="5"/>
    <n v="7.0000000000000007E-2"/>
    <n v="0.03"/>
    <n v="0.1"/>
  </r>
  <r>
    <x v="0"/>
    <x v="1"/>
    <x v="6"/>
    <n v="0.15"/>
    <n v="0.06"/>
    <n v="0.21"/>
  </r>
  <r>
    <x v="0"/>
    <x v="1"/>
    <x v="7"/>
    <n v="0.27"/>
    <n v="0.1"/>
    <n v="0.37"/>
  </r>
  <r>
    <x v="0"/>
    <x v="1"/>
    <x v="8"/>
    <n v="0.2"/>
    <n v="0.09"/>
    <n v="0.29000000000000004"/>
  </r>
  <r>
    <x v="1"/>
    <x v="0"/>
    <x v="0"/>
    <n v="75.23"/>
    <n v="18.59"/>
    <n v="93.820000000000007"/>
  </r>
  <r>
    <x v="1"/>
    <x v="0"/>
    <x v="1"/>
    <n v="56.52"/>
    <n v="14.65"/>
    <n v="71.17"/>
  </r>
  <r>
    <x v="1"/>
    <x v="0"/>
    <x v="2"/>
    <n v="2.31"/>
    <n v="0.49"/>
    <n v="2.8"/>
  </r>
  <r>
    <x v="1"/>
    <x v="0"/>
    <x v="3"/>
    <n v="2.0699999999999998"/>
    <n v="0.4"/>
    <n v="2.4699999999999998"/>
  </r>
  <r>
    <x v="1"/>
    <x v="0"/>
    <x v="4"/>
    <n v="2.08"/>
    <n v="0.43"/>
    <n v="2.5100000000000002"/>
  </r>
  <r>
    <x v="1"/>
    <x v="0"/>
    <x v="5"/>
    <n v="1.26"/>
    <n v="0.28000000000000003"/>
    <n v="1.54"/>
  </r>
  <r>
    <x v="1"/>
    <x v="0"/>
    <x v="6"/>
    <n v="86.17"/>
    <n v="12.39"/>
    <n v="98.56"/>
  </r>
  <r>
    <x v="1"/>
    <x v="0"/>
    <x v="7"/>
    <n v="17.66"/>
    <n v="2.82"/>
    <n v="20.48"/>
  </r>
  <r>
    <x v="1"/>
    <x v="0"/>
    <x v="8"/>
    <n v="28.06"/>
    <n v="4.1399999999999997"/>
    <n v="32.199999999999996"/>
  </r>
  <r>
    <x v="1"/>
    <x v="0"/>
    <x v="0"/>
    <n v="76.900000000000006"/>
    <n v="18.88"/>
    <n v="95.78"/>
  </r>
  <r>
    <x v="1"/>
    <x v="0"/>
    <x v="1"/>
    <n v="57.24"/>
    <n v="14.86"/>
    <n v="72.099999999999994"/>
  </r>
  <r>
    <x v="1"/>
    <x v="0"/>
    <x v="2"/>
    <n v="2.08"/>
    <n v="0.45"/>
    <n v="2.5300000000000002"/>
  </r>
  <r>
    <x v="1"/>
    <x v="0"/>
    <x v="3"/>
    <n v="2.14"/>
    <n v="0.41"/>
    <n v="2.5500000000000003"/>
  </r>
  <r>
    <x v="1"/>
    <x v="0"/>
    <x v="4"/>
    <n v="2.1"/>
    <n v="0.4"/>
    <n v="2.5"/>
  </r>
  <r>
    <x v="1"/>
    <x v="0"/>
    <x v="5"/>
    <n v="1.26"/>
    <n v="0.24"/>
    <n v="1.5"/>
  </r>
  <r>
    <x v="1"/>
    <x v="0"/>
    <x v="6"/>
    <n v="83.74"/>
    <n v="12.15"/>
    <n v="95.89"/>
  </r>
  <r>
    <x v="1"/>
    <x v="0"/>
    <x v="7"/>
    <n v="18.55"/>
    <n v="3.01"/>
    <n v="21.560000000000002"/>
  </r>
  <r>
    <x v="1"/>
    <x v="0"/>
    <x v="8"/>
    <n v="28.02"/>
    <n v="4.26"/>
    <n v="32.28"/>
  </r>
  <r>
    <x v="1"/>
    <x v="0"/>
    <x v="0"/>
    <n v="76.650000000000006"/>
    <n v="18.8"/>
    <n v="95.45"/>
  </r>
  <r>
    <x v="1"/>
    <x v="0"/>
    <x v="1"/>
    <n v="56.61"/>
    <n v="14.87"/>
    <n v="71.48"/>
  </r>
  <r>
    <x v="1"/>
    <x v="0"/>
    <x v="2"/>
    <n v="2.12"/>
    <n v="0.47"/>
    <n v="2.59"/>
  </r>
  <r>
    <x v="1"/>
    <x v="0"/>
    <x v="3"/>
    <n v="2.19"/>
    <n v="0.45"/>
    <n v="2.64"/>
  </r>
  <r>
    <x v="1"/>
    <x v="0"/>
    <x v="4"/>
    <n v="2.14"/>
    <n v="0.45"/>
    <n v="2.5900000000000003"/>
  </r>
  <r>
    <x v="1"/>
    <x v="0"/>
    <x v="5"/>
    <n v="1.26"/>
    <n v="0.28000000000000003"/>
    <n v="1.54"/>
  </r>
  <r>
    <x v="1"/>
    <x v="0"/>
    <x v="6"/>
    <n v="84.16"/>
    <n v="12.66"/>
    <n v="96.82"/>
  </r>
  <r>
    <x v="1"/>
    <x v="0"/>
    <x v="7"/>
    <n v="18.68"/>
    <n v="3.11"/>
    <n v="21.79"/>
  </r>
  <r>
    <x v="1"/>
    <x v="0"/>
    <x v="8"/>
    <n v="28.29"/>
    <n v="4.53"/>
    <n v="32.82"/>
  </r>
  <r>
    <x v="1"/>
    <x v="0"/>
    <x v="0"/>
    <n v="77.739999999999995"/>
    <n v="19.829999999999998"/>
    <n v="97.57"/>
  </r>
  <r>
    <x v="1"/>
    <x v="0"/>
    <x v="1"/>
    <n v="57.45"/>
    <n v="15.44"/>
    <n v="72.89"/>
  </r>
  <r>
    <x v="1"/>
    <x v="0"/>
    <x v="2"/>
    <n v="2.2000000000000002"/>
    <n v="0.51"/>
    <n v="2.71"/>
  </r>
  <r>
    <x v="1"/>
    <x v="0"/>
    <x v="3"/>
    <n v="2.17"/>
    <n v="0.44"/>
    <n v="2.61"/>
  </r>
  <r>
    <x v="1"/>
    <x v="0"/>
    <x v="4"/>
    <n v="2.15"/>
    <n v="0.46"/>
    <n v="2.61"/>
  </r>
  <r>
    <x v="1"/>
    <x v="0"/>
    <x v="5"/>
    <n v="1.25"/>
    <n v="0.28999999999999998"/>
    <n v="1.54"/>
  </r>
  <r>
    <x v="1"/>
    <x v="0"/>
    <x v="6"/>
    <n v="83.72"/>
    <n v="12.64"/>
    <n v="96.36"/>
  </r>
  <r>
    <x v="1"/>
    <x v="0"/>
    <x v="7"/>
    <n v="18.579999999999998"/>
    <n v="3.13"/>
    <n v="21.709999999999997"/>
  </r>
  <r>
    <x v="1"/>
    <x v="0"/>
    <x v="8"/>
    <n v="28.48"/>
    <n v="4.47"/>
    <n v="32.950000000000003"/>
  </r>
  <r>
    <x v="1"/>
    <x v="0"/>
    <x v="0"/>
    <n v="78.06"/>
    <n v="19.399999999999999"/>
    <n v="97.460000000000008"/>
  </r>
  <r>
    <x v="1"/>
    <x v="0"/>
    <x v="1"/>
    <n v="57.8"/>
    <n v="15.36"/>
    <n v="73.16"/>
  </r>
  <r>
    <x v="1"/>
    <x v="0"/>
    <x v="2"/>
    <n v="2.1"/>
    <n v="0.49"/>
    <n v="2.59"/>
  </r>
  <r>
    <x v="1"/>
    <x v="0"/>
    <x v="3"/>
    <n v="2.16"/>
    <n v="0.45"/>
    <n v="2.6100000000000003"/>
  </r>
  <r>
    <x v="1"/>
    <x v="0"/>
    <x v="4"/>
    <n v="2.11"/>
    <n v="0.43"/>
    <n v="2.54"/>
  </r>
  <r>
    <x v="1"/>
    <x v="0"/>
    <x v="5"/>
    <n v="1.27"/>
    <n v="0.27"/>
    <n v="1.54"/>
  </r>
  <r>
    <x v="1"/>
    <x v="0"/>
    <x v="6"/>
    <n v="83.92"/>
    <n v="12.76"/>
    <n v="96.68"/>
  </r>
  <r>
    <x v="1"/>
    <x v="0"/>
    <x v="7"/>
    <n v="19.37"/>
    <n v="3.09"/>
    <n v="22.46"/>
  </r>
  <r>
    <x v="1"/>
    <x v="0"/>
    <x v="8"/>
    <n v="27.14"/>
    <n v="4.17"/>
    <n v="31.310000000000002"/>
  </r>
  <r>
    <x v="1"/>
    <x v="0"/>
    <x v="0"/>
    <n v="77.97"/>
    <n v="20.03"/>
    <n v="98"/>
  </r>
  <r>
    <x v="1"/>
    <x v="0"/>
    <x v="1"/>
    <n v="59.83"/>
    <n v="15.98"/>
    <n v="75.81"/>
  </r>
  <r>
    <x v="1"/>
    <x v="0"/>
    <x v="2"/>
    <n v="2.1"/>
    <n v="0.5"/>
    <n v="2.6"/>
  </r>
  <r>
    <x v="1"/>
    <x v="0"/>
    <x v="3"/>
    <n v="2.12"/>
    <n v="0.44"/>
    <n v="2.56"/>
  </r>
  <r>
    <x v="1"/>
    <x v="0"/>
    <x v="4"/>
    <n v="2.15"/>
    <n v="0.46"/>
    <n v="2.61"/>
  </r>
  <r>
    <x v="1"/>
    <x v="0"/>
    <x v="5"/>
    <n v="1.3"/>
    <n v="0.3"/>
    <n v="1.6"/>
  </r>
  <r>
    <x v="1"/>
    <x v="0"/>
    <x v="6"/>
    <n v="83.26"/>
    <n v="12.47"/>
    <n v="95.73"/>
  </r>
  <r>
    <x v="1"/>
    <x v="0"/>
    <x v="7"/>
    <n v="19.309999999999999"/>
    <n v="3.14"/>
    <n v="22.45"/>
  </r>
  <r>
    <x v="1"/>
    <x v="0"/>
    <x v="8"/>
    <n v="27.43"/>
    <n v="4.43"/>
    <n v="31.86"/>
  </r>
  <r>
    <x v="1"/>
    <x v="1"/>
    <x v="0"/>
    <n v="54.46"/>
    <n v="11.12"/>
    <n v="65.58"/>
  </r>
  <r>
    <x v="1"/>
    <x v="1"/>
    <x v="1"/>
    <n v="44.51"/>
    <n v="9.24"/>
    <n v="53.75"/>
  </r>
  <r>
    <x v="1"/>
    <x v="1"/>
    <x v="2"/>
    <n v="1.74"/>
    <n v="0.38"/>
    <n v="2.12"/>
  </r>
  <r>
    <x v="1"/>
    <x v="1"/>
    <x v="3"/>
    <n v="1.88"/>
    <n v="0.35"/>
    <n v="2.23"/>
  </r>
  <r>
    <x v="1"/>
    <x v="1"/>
    <x v="4"/>
    <n v="2.0699999999999998"/>
    <n v="0.44"/>
    <n v="2.5099999999999998"/>
  </r>
  <r>
    <x v="1"/>
    <x v="1"/>
    <x v="5"/>
    <n v="1.27"/>
    <n v="0.28999999999999998"/>
    <n v="1.56"/>
  </r>
  <r>
    <x v="1"/>
    <x v="1"/>
    <x v="6"/>
    <n v="85.97"/>
    <n v="13.1"/>
    <n v="99.07"/>
  </r>
  <r>
    <x v="1"/>
    <x v="1"/>
    <x v="7"/>
    <n v="17.670000000000002"/>
    <n v="2.92"/>
    <n v="20.590000000000003"/>
  </r>
  <r>
    <x v="1"/>
    <x v="1"/>
    <x v="8"/>
    <n v="30.9"/>
    <n v="4.78"/>
    <n v="35.68"/>
  </r>
  <r>
    <x v="1"/>
    <x v="1"/>
    <x v="0"/>
    <n v="55.8"/>
    <n v="11.37"/>
    <n v="67.17"/>
  </r>
  <r>
    <x v="1"/>
    <x v="1"/>
    <x v="1"/>
    <n v="44.79"/>
    <n v="9.11"/>
    <n v="53.9"/>
  </r>
  <r>
    <x v="1"/>
    <x v="1"/>
    <x v="2"/>
    <n v="1.75"/>
    <n v="0.36"/>
    <n v="2.11"/>
  </r>
  <r>
    <x v="1"/>
    <x v="1"/>
    <x v="3"/>
    <n v="1.77"/>
    <n v="0.32"/>
    <n v="2.09"/>
  </r>
  <r>
    <x v="1"/>
    <x v="1"/>
    <x v="4"/>
    <n v="2.09"/>
    <n v="0.43"/>
    <n v="2.52"/>
  </r>
  <r>
    <x v="1"/>
    <x v="1"/>
    <x v="5"/>
    <n v="1.23"/>
    <n v="0.26"/>
    <n v="1.49"/>
  </r>
  <r>
    <x v="1"/>
    <x v="1"/>
    <x v="6"/>
    <n v="84.71"/>
    <n v="12.44"/>
    <n v="97.149999999999991"/>
  </r>
  <r>
    <x v="1"/>
    <x v="1"/>
    <x v="7"/>
    <n v="18.600000000000001"/>
    <n v="2.93"/>
    <n v="21.53"/>
  </r>
  <r>
    <x v="1"/>
    <x v="1"/>
    <x v="8"/>
    <n v="28.92"/>
    <n v="4.2300000000000004"/>
    <n v="33.150000000000006"/>
  </r>
  <r>
    <x v="1"/>
    <x v="1"/>
    <x v="0"/>
    <n v="54.98"/>
    <n v="10.79"/>
    <n v="65.77"/>
  </r>
  <r>
    <x v="1"/>
    <x v="1"/>
    <x v="1"/>
    <n v="44.9"/>
    <n v="9.09"/>
    <n v="53.989999999999995"/>
  </r>
  <r>
    <x v="1"/>
    <x v="1"/>
    <x v="2"/>
    <n v="1.74"/>
    <n v="0.37"/>
    <n v="2.11"/>
  </r>
  <r>
    <x v="1"/>
    <x v="1"/>
    <x v="3"/>
    <n v="1.75"/>
    <n v="0.33"/>
    <n v="2.08"/>
  </r>
  <r>
    <x v="1"/>
    <x v="1"/>
    <x v="4"/>
    <n v="2.1"/>
    <n v="0.42"/>
    <n v="2.52"/>
  </r>
  <r>
    <x v="1"/>
    <x v="1"/>
    <x v="5"/>
    <n v="1.26"/>
    <n v="0.25"/>
    <n v="1.51"/>
  </r>
  <r>
    <x v="1"/>
    <x v="1"/>
    <x v="6"/>
    <n v="84.32"/>
    <n v="12.29"/>
    <n v="96.609999999999985"/>
  </r>
  <r>
    <x v="1"/>
    <x v="1"/>
    <x v="7"/>
    <n v="17.48"/>
    <n v="2.86"/>
    <n v="20.34"/>
  </r>
  <r>
    <x v="1"/>
    <x v="1"/>
    <x v="8"/>
    <n v="29.61"/>
    <n v="4.42"/>
    <n v="34.03"/>
  </r>
  <r>
    <x v="1"/>
    <x v="1"/>
    <x v="0"/>
    <n v="57.86"/>
    <n v="11.33"/>
    <n v="69.19"/>
  </r>
  <r>
    <x v="1"/>
    <x v="1"/>
    <x v="1"/>
    <n v="45.07"/>
    <n v="9.2799999999999994"/>
    <n v="54.35"/>
  </r>
  <r>
    <x v="1"/>
    <x v="1"/>
    <x v="2"/>
    <n v="1.78"/>
    <n v="0.39"/>
    <n v="2.17"/>
  </r>
  <r>
    <x v="1"/>
    <x v="1"/>
    <x v="3"/>
    <n v="1.85"/>
    <n v="0.35"/>
    <n v="2.2000000000000002"/>
  </r>
  <r>
    <x v="1"/>
    <x v="1"/>
    <x v="4"/>
    <n v="2.17"/>
    <n v="0.46"/>
    <n v="2.63"/>
  </r>
  <r>
    <x v="1"/>
    <x v="1"/>
    <x v="5"/>
    <n v="1.35"/>
    <n v="0.28000000000000003"/>
    <n v="1.6300000000000001"/>
  </r>
  <r>
    <x v="1"/>
    <x v="1"/>
    <x v="6"/>
    <n v="84.96"/>
    <n v="12.51"/>
    <n v="97.47"/>
  </r>
  <r>
    <x v="1"/>
    <x v="1"/>
    <x v="7"/>
    <n v="18.45"/>
    <n v="2.8"/>
    <n v="21.25"/>
  </r>
  <r>
    <x v="1"/>
    <x v="1"/>
    <x v="8"/>
    <n v="28.71"/>
    <n v="4.3899999999999997"/>
    <n v="33.1"/>
  </r>
  <r>
    <x v="1"/>
    <x v="1"/>
    <x v="0"/>
    <n v="55.34"/>
    <n v="10.76"/>
    <n v="66.100000000000009"/>
  </r>
  <r>
    <x v="1"/>
    <x v="1"/>
    <x v="1"/>
    <n v="45.41"/>
    <n v="9.3699999999999992"/>
    <n v="54.779999999999994"/>
  </r>
  <r>
    <x v="1"/>
    <x v="1"/>
    <x v="2"/>
    <n v="1.76"/>
    <n v="0.37"/>
    <n v="2.13"/>
  </r>
  <r>
    <x v="1"/>
    <x v="1"/>
    <x v="3"/>
    <n v="1.86"/>
    <n v="0.35"/>
    <n v="2.21"/>
  </r>
  <r>
    <x v="1"/>
    <x v="1"/>
    <x v="4"/>
    <n v="2.1"/>
    <n v="0.41"/>
    <n v="2.5100000000000002"/>
  </r>
  <r>
    <x v="1"/>
    <x v="1"/>
    <x v="5"/>
    <n v="1.27"/>
    <n v="0.26"/>
    <n v="1.53"/>
  </r>
  <r>
    <x v="1"/>
    <x v="1"/>
    <x v="6"/>
    <n v="87.99"/>
    <n v="13"/>
    <n v="100.99"/>
  </r>
  <r>
    <x v="1"/>
    <x v="1"/>
    <x v="7"/>
    <n v="17.91"/>
    <n v="3.07"/>
    <n v="20.98"/>
  </r>
  <r>
    <x v="1"/>
    <x v="1"/>
    <x v="8"/>
    <n v="29.46"/>
    <n v="4.74"/>
    <n v="34.200000000000003"/>
  </r>
  <r>
    <x v="1"/>
    <x v="1"/>
    <x v="0"/>
    <n v="55.79"/>
    <n v="11.33"/>
    <n v="67.12"/>
  </r>
  <r>
    <x v="1"/>
    <x v="1"/>
    <x v="1"/>
    <n v="45.65"/>
    <n v="9.52"/>
    <n v="55.17"/>
  </r>
  <r>
    <x v="1"/>
    <x v="1"/>
    <x v="2"/>
    <n v="1.79"/>
    <n v="0.38"/>
    <n v="2.17"/>
  </r>
  <r>
    <x v="1"/>
    <x v="1"/>
    <x v="3"/>
    <n v="1.87"/>
    <n v="0.35"/>
    <n v="2.2200000000000002"/>
  </r>
  <r>
    <x v="1"/>
    <x v="1"/>
    <x v="4"/>
    <n v="2.14"/>
    <n v="0.46"/>
    <n v="2.6"/>
  </r>
  <r>
    <x v="1"/>
    <x v="1"/>
    <x v="5"/>
    <n v="1.25"/>
    <n v="0.28999999999999998"/>
    <n v="1.54"/>
  </r>
  <r>
    <x v="1"/>
    <x v="1"/>
    <x v="6"/>
    <n v="85.28"/>
    <n v="12.95"/>
    <n v="98.23"/>
  </r>
  <r>
    <x v="1"/>
    <x v="1"/>
    <x v="7"/>
    <n v="17.79"/>
    <n v="3.04"/>
    <n v="20.83"/>
  </r>
  <r>
    <x v="1"/>
    <x v="1"/>
    <x v="8"/>
    <n v="29.26"/>
    <n v="4.8099999999999996"/>
    <n v="34.07"/>
  </r>
  <r>
    <x v="0"/>
    <x v="1"/>
    <x v="9"/>
    <n v="0.21"/>
    <n v="0.11"/>
    <n v="0.32"/>
  </r>
  <r>
    <x v="0"/>
    <x v="1"/>
    <x v="10"/>
    <n v="0.21"/>
    <n v="0.11"/>
    <n v="0.32"/>
  </r>
  <r>
    <x v="0"/>
    <x v="1"/>
    <x v="11"/>
    <n v="4.3099999999999996"/>
    <n v="0.42"/>
    <n v="4.7299999999999995"/>
  </r>
  <r>
    <x v="0"/>
    <x v="1"/>
    <x v="12"/>
    <n v="0.2"/>
    <n v="0.08"/>
    <n v="0.28000000000000003"/>
  </r>
  <r>
    <x v="0"/>
    <x v="1"/>
    <x v="13"/>
    <n v="0.09"/>
    <n v="0.04"/>
    <n v="0.13"/>
  </r>
  <r>
    <x v="0"/>
    <x v="1"/>
    <x v="14"/>
    <n v="0.09"/>
    <n v="0.04"/>
    <n v="0.13"/>
  </r>
  <r>
    <x v="0"/>
    <x v="1"/>
    <x v="15"/>
    <n v="0.06"/>
    <n v="0.03"/>
    <n v="0.09"/>
  </r>
  <r>
    <x v="0"/>
    <x v="1"/>
    <x v="16"/>
    <n v="7.0000000000000007E-2"/>
    <n v="0.03"/>
    <n v="0.1"/>
  </r>
  <r>
    <x v="0"/>
    <x v="1"/>
    <x v="17"/>
    <n v="0.23"/>
    <n v="0.11"/>
    <n v="0.34"/>
  </r>
  <r>
    <x v="0"/>
    <x v="1"/>
    <x v="18"/>
    <n v="0.23"/>
    <n v="0.15"/>
    <n v="0.38"/>
  </r>
  <r>
    <x v="0"/>
    <x v="1"/>
    <x v="9"/>
    <n v="0.2"/>
    <n v="0.1"/>
    <n v="0.30000000000000004"/>
  </r>
  <r>
    <x v="0"/>
    <x v="1"/>
    <x v="10"/>
    <n v="0.2"/>
    <n v="0.09"/>
    <n v="0.29000000000000004"/>
  </r>
  <r>
    <x v="0"/>
    <x v="1"/>
    <x v="11"/>
    <n v="4.28"/>
    <n v="0.38"/>
    <n v="4.66"/>
  </r>
  <r>
    <x v="0"/>
    <x v="1"/>
    <x v="12"/>
    <n v="0.2"/>
    <n v="0.08"/>
    <n v="0.28000000000000003"/>
  </r>
  <r>
    <x v="0"/>
    <x v="1"/>
    <x v="13"/>
    <n v="0.09"/>
    <n v="0.05"/>
    <n v="0.14000000000000001"/>
  </r>
  <r>
    <x v="0"/>
    <x v="1"/>
    <x v="14"/>
    <n v="0.09"/>
    <n v="0.05"/>
    <n v="0.14000000000000001"/>
  </r>
  <r>
    <x v="0"/>
    <x v="1"/>
    <x v="15"/>
    <n v="0.06"/>
    <n v="0.03"/>
    <n v="0.09"/>
  </r>
  <r>
    <x v="0"/>
    <x v="1"/>
    <x v="16"/>
    <n v="7.0000000000000007E-2"/>
    <n v="0.03"/>
    <n v="0.1"/>
  </r>
  <r>
    <x v="0"/>
    <x v="1"/>
    <x v="17"/>
    <n v="0.23"/>
    <n v="0.14000000000000001"/>
    <n v="0.37"/>
  </r>
  <r>
    <x v="0"/>
    <x v="1"/>
    <x v="18"/>
    <n v="0.23"/>
    <n v="0.14000000000000001"/>
    <n v="0.37"/>
  </r>
  <r>
    <x v="0"/>
    <x v="1"/>
    <x v="9"/>
    <n v="0.2"/>
    <n v="0.1"/>
    <n v="0.30000000000000004"/>
  </r>
  <r>
    <x v="0"/>
    <x v="1"/>
    <x v="10"/>
    <n v="0.2"/>
    <n v="0.1"/>
    <n v="0.30000000000000004"/>
  </r>
  <r>
    <x v="0"/>
    <x v="1"/>
    <x v="11"/>
    <n v="4.26"/>
    <n v="0.42"/>
    <n v="4.68"/>
  </r>
  <r>
    <x v="0"/>
    <x v="1"/>
    <x v="12"/>
    <n v="4.34"/>
    <n v="0.43"/>
    <n v="4.7699999999999996"/>
  </r>
  <r>
    <x v="0"/>
    <x v="1"/>
    <x v="13"/>
    <n v="0.09"/>
    <n v="0.05"/>
    <n v="0.14000000000000001"/>
  </r>
  <r>
    <x v="0"/>
    <x v="1"/>
    <x v="14"/>
    <n v="0.09"/>
    <n v="0.05"/>
    <n v="0.14000000000000001"/>
  </r>
  <r>
    <x v="0"/>
    <x v="1"/>
    <x v="15"/>
    <n v="7.0000000000000007E-2"/>
    <n v="0.03"/>
    <n v="0.1"/>
  </r>
  <r>
    <x v="0"/>
    <x v="1"/>
    <x v="16"/>
    <n v="7.0000000000000007E-2"/>
    <n v="0.03"/>
    <n v="0.1"/>
  </r>
  <r>
    <x v="0"/>
    <x v="1"/>
    <x v="17"/>
    <n v="0.23"/>
    <n v="0.14000000000000001"/>
    <n v="0.37"/>
  </r>
  <r>
    <x v="0"/>
    <x v="1"/>
    <x v="18"/>
    <n v="0.24"/>
    <n v="0.14000000000000001"/>
    <n v="0.38"/>
  </r>
  <r>
    <x v="0"/>
    <x v="1"/>
    <x v="9"/>
    <n v="0.2"/>
    <n v="0.1"/>
    <n v="0.30000000000000004"/>
  </r>
  <r>
    <x v="0"/>
    <x v="1"/>
    <x v="10"/>
    <n v="0.2"/>
    <n v="0.1"/>
    <n v="0.30000000000000004"/>
  </r>
  <r>
    <x v="0"/>
    <x v="1"/>
    <x v="11"/>
    <n v="4.26"/>
    <n v="0.4"/>
    <n v="4.66"/>
  </r>
  <r>
    <x v="0"/>
    <x v="1"/>
    <x v="12"/>
    <n v="4.28"/>
    <n v="0.41"/>
    <n v="4.6900000000000004"/>
  </r>
  <r>
    <x v="0"/>
    <x v="1"/>
    <x v="13"/>
    <n v="0.09"/>
    <n v="0.05"/>
    <n v="0.14000000000000001"/>
  </r>
  <r>
    <x v="0"/>
    <x v="1"/>
    <x v="14"/>
    <n v="0.09"/>
    <n v="0.05"/>
    <n v="0.14000000000000001"/>
  </r>
  <r>
    <x v="0"/>
    <x v="1"/>
    <x v="15"/>
    <n v="7.0000000000000007E-2"/>
    <n v="0.03"/>
    <n v="0.1"/>
  </r>
  <r>
    <x v="0"/>
    <x v="1"/>
    <x v="16"/>
    <n v="7.0000000000000007E-2"/>
    <n v="0.03"/>
    <n v="0.1"/>
  </r>
  <r>
    <x v="0"/>
    <x v="1"/>
    <x v="17"/>
    <n v="0.23"/>
    <n v="0.14000000000000001"/>
    <n v="0.37"/>
  </r>
  <r>
    <x v="0"/>
    <x v="1"/>
    <x v="18"/>
    <n v="0.23"/>
    <n v="0.14000000000000001"/>
    <n v="0.37"/>
  </r>
  <r>
    <x v="0"/>
    <x v="1"/>
    <x v="9"/>
    <n v="0.2"/>
    <n v="0.1"/>
    <n v="0.30000000000000004"/>
  </r>
  <r>
    <x v="0"/>
    <x v="1"/>
    <x v="10"/>
    <n v="0.2"/>
    <n v="0.1"/>
    <n v="0.30000000000000004"/>
  </r>
  <r>
    <x v="0"/>
    <x v="1"/>
    <x v="11"/>
    <n v="4.28"/>
    <n v="0.42"/>
    <n v="4.7"/>
  </r>
  <r>
    <x v="0"/>
    <x v="1"/>
    <x v="12"/>
    <n v="4.29"/>
    <n v="0.42"/>
    <n v="4.71"/>
  </r>
  <r>
    <x v="0"/>
    <x v="1"/>
    <x v="13"/>
    <n v="0.09"/>
    <n v="0.04"/>
    <n v="0.13"/>
  </r>
  <r>
    <x v="0"/>
    <x v="1"/>
    <x v="14"/>
    <n v="0.09"/>
    <n v="0.04"/>
    <n v="0.13"/>
  </r>
  <r>
    <x v="0"/>
    <x v="1"/>
    <x v="15"/>
    <n v="0.06"/>
    <n v="0.03"/>
    <n v="0.09"/>
  </r>
  <r>
    <x v="0"/>
    <x v="1"/>
    <x v="16"/>
    <n v="7.0000000000000007E-2"/>
    <n v="0.03"/>
    <n v="0.1"/>
  </r>
  <r>
    <x v="0"/>
    <x v="1"/>
    <x v="17"/>
    <n v="0.23"/>
    <n v="0.14000000000000001"/>
    <n v="0.37"/>
  </r>
  <r>
    <x v="0"/>
    <x v="1"/>
    <x v="18"/>
    <n v="0.23"/>
    <n v="0.14000000000000001"/>
    <n v="0.37"/>
  </r>
  <r>
    <x v="0"/>
    <x v="1"/>
    <x v="9"/>
    <n v="0.2"/>
    <n v="0.1"/>
    <n v="0.30000000000000004"/>
  </r>
  <r>
    <x v="0"/>
    <x v="1"/>
    <x v="10"/>
    <n v="0.2"/>
    <n v="0.1"/>
    <n v="0.30000000000000004"/>
  </r>
  <r>
    <x v="0"/>
    <x v="1"/>
    <x v="11"/>
    <n v="4.3"/>
    <n v="0.43"/>
    <n v="4.7299999999999995"/>
  </r>
  <r>
    <x v="0"/>
    <x v="1"/>
    <x v="12"/>
    <n v="4.26"/>
    <n v="0.4"/>
    <n v="4.66"/>
  </r>
  <r>
    <x v="0"/>
    <x v="1"/>
    <x v="13"/>
    <n v="0.09"/>
    <n v="0.05"/>
    <n v="0.14000000000000001"/>
  </r>
  <r>
    <x v="0"/>
    <x v="1"/>
    <x v="14"/>
    <n v="0.09"/>
    <n v="0.05"/>
    <n v="0.14000000000000001"/>
  </r>
  <r>
    <x v="0"/>
    <x v="1"/>
    <x v="15"/>
    <n v="0.06"/>
    <n v="0.03"/>
    <n v="0.09"/>
  </r>
  <r>
    <x v="0"/>
    <x v="1"/>
    <x v="16"/>
    <n v="7.0000000000000007E-2"/>
    <n v="0.03"/>
    <n v="0.1"/>
  </r>
  <r>
    <x v="0"/>
    <x v="1"/>
    <x v="17"/>
    <n v="0.23"/>
    <n v="0.14000000000000001"/>
    <n v="0.37"/>
  </r>
  <r>
    <x v="0"/>
    <x v="1"/>
    <x v="18"/>
    <n v="0.23"/>
    <n v="0.14000000000000001"/>
    <n v="0.37"/>
  </r>
  <r>
    <x v="0"/>
    <x v="0"/>
    <x v="9"/>
    <n v="0.34"/>
    <n v="0.21"/>
    <n v="0.55000000000000004"/>
  </r>
  <r>
    <x v="0"/>
    <x v="0"/>
    <x v="10"/>
    <n v="0.34"/>
    <n v="0.17"/>
    <n v="0.51"/>
  </r>
  <r>
    <x v="0"/>
    <x v="0"/>
    <x v="11"/>
    <n v="4.3600000000000003"/>
    <n v="0.43"/>
    <n v="4.79"/>
  </r>
  <r>
    <x v="0"/>
    <x v="0"/>
    <x v="12"/>
    <n v="0.2"/>
    <n v="0.08"/>
    <n v="0.28000000000000003"/>
  </r>
  <r>
    <x v="0"/>
    <x v="0"/>
    <x v="13"/>
    <n v="0.13"/>
    <n v="7.0000000000000007E-2"/>
    <n v="0.2"/>
  </r>
  <r>
    <x v="0"/>
    <x v="0"/>
    <x v="14"/>
    <n v="0.13"/>
    <n v="7.0000000000000007E-2"/>
    <n v="0.2"/>
  </r>
  <r>
    <x v="0"/>
    <x v="0"/>
    <x v="15"/>
    <n v="0.08"/>
    <n v="0.04"/>
    <n v="0.12"/>
  </r>
  <r>
    <x v="0"/>
    <x v="0"/>
    <x v="16"/>
    <n v="0.08"/>
    <n v="0.04"/>
    <n v="0.12"/>
  </r>
  <r>
    <x v="0"/>
    <x v="0"/>
    <x v="17"/>
    <n v="0.23"/>
    <n v="0.15"/>
    <n v="0.38"/>
  </r>
  <r>
    <x v="0"/>
    <x v="0"/>
    <x v="18"/>
    <n v="0.23"/>
    <n v="0.14000000000000001"/>
    <n v="0.37"/>
  </r>
  <r>
    <x v="0"/>
    <x v="0"/>
    <x v="9"/>
    <n v="0.35"/>
    <n v="0.17"/>
    <n v="0.52"/>
  </r>
  <r>
    <x v="0"/>
    <x v="0"/>
    <x v="10"/>
    <n v="0.35"/>
    <n v="0.17"/>
    <n v="0.52"/>
  </r>
  <r>
    <x v="0"/>
    <x v="0"/>
    <x v="11"/>
    <n v="0.19"/>
    <n v="0.08"/>
    <n v="0.27"/>
  </r>
  <r>
    <x v="0"/>
    <x v="0"/>
    <x v="12"/>
    <n v="4.3099999999999996"/>
    <n v="0.42"/>
    <n v="4.7299999999999995"/>
  </r>
  <r>
    <x v="0"/>
    <x v="0"/>
    <x v="13"/>
    <n v="0.12"/>
    <n v="0.06"/>
    <n v="0.18"/>
  </r>
  <r>
    <x v="0"/>
    <x v="0"/>
    <x v="14"/>
    <n v="0.12"/>
    <n v="0.06"/>
    <n v="0.18"/>
  </r>
  <r>
    <x v="0"/>
    <x v="0"/>
    <x v="15"/>
    <n v="0.08"/>
    <n v="0.04"/>
    <n v="0.12"/>
  </r>
  <r>
    <x v="0"/>
    <x v="0"/>
    <x v="16"/>
    <n v="0.08"/>
    <n v="0.04"/>
    <n v="0.12"/>
  </r>
  <r>
    <x v="0"/>
    <x v="0"/>
    <x v="17"/>
    <n v="0.23"/>
    <n v="0.14000000000000001"/>
    <n v="0.37"/>
  </r>
  <r>
    <x v="0"/>
    <x v="0"/>
    <x v="18"/>
    <n v="0.24"/>
    <n v="0.14000000000000001"/>
    <n v="0.38"/>
  </r>
  <r>
    <x v="0"/>
    <x v="0"/>
    <x v="9"/>
    <n v="0.35"/>
    <n v="0.17"/>
    <n v="0.52"/>
  </r>
  <r>
    <x v="0"/>
    <x v="0"/>
    <x v="10"/>
    <n v="0.33"/>
    <n v="0.16"/>
    <n v="0.49"/>
  </r>
  <r>
    <x v="0"/>
    <x v="0"/>
    <x v="11"/>
    <n v="0.19"/>
    <n v="0.08"/>
    <n v="0.27"/>
  </r>
  <r>
    <x v="0"/>
    <x v="0"/>
    <x v="12"/>
    <n v="4.21"/>
    <n v="0.39"/>
    <n v="4.5999999999999996"/>
  </r>
  <r>
    <x v="0"/>
    <x v="0"/>
    <x v="13"/>
    <n v="0.12"/>
    <n v="0.06"/>
    <n v="0.18"/>
  </r>
  <r>
    <x v="0"/>
    <x v="0"/>
    <x v="14"/>
    <n v="0.12"/>
    <n v="0.06"/>
    <n v="0.18"/>
  </r>
  <r>
    <x v="0"/>
    <x v="0"/>
    <x v="15"/>
    <n v="7.0000000000000007E-2"/>
    <n v="0.04"/>
    <n v="0.11000000000000001"/>
  </r>
  <r>
    <x v="0"/>
    <x v="0"/>
    <x v="16"/>
    <n v="0.08"/>
    <n v="0.03"/>
    <n v="0.11"/>
  </r>
  <r>
    <x v="0"/>
    <x v="0"/>
    <x v="17"/>
    <n v="0.23"/>
    <n v="0.14000000000000001"/>
    <n v="0.37"/>
  </r>
  <r>
    <x v="0"/>
    <x v="0"/>
    <x v="18"/>
    <n v="0.23"/>
    <n v="0.14000000000000001"/>
    <n v="0.37"/>
  </r>
  <r>
    <x v="0"/>
    <x v="0"/>
    <x v="9"/>
    <n v="0.34"/>
    <n v="0.16"/>
    <n v="0.5"/>
  </r>
  <r>
    <x v="0"/>
    <x v="0"/>
    <x v="10"/>
    <n v="0.35"/>
    <n v="0.16"/>
    <n v="0.51"/>
  </r>
  <r>
    <x v="0"/>
    <x v="0"/>
    <x v="11"/>
    <n v="4.47"/>
    <n v="0.41"/>
    <n v="4.88"/>
  </r>
  <r>
    <x v="0"/>
    <x v="0"/>
    <x v="12"/>
    <n v="4.34"/>
    <n v="0.42"/>
    <n v="4.76"/>
  </r>
  <r>
    <x v="0"/>
    <x v="0"/>
    <x v="13"/>
    <n v="0.12"/>
    <n v="0.06"/>
    <n v="0.18"/>
  </r>
  <r>
    <x v="0"/>
    <x v="0"/>
    <x v="14"/>
    <n v="0.13"/>
    <n v="7.0000000000000007E-2"/>
    <n v="0.2"/>
  </r>
  <r>
    <x v="0"/>
    <x v="0"/>
    <x v="15"/>
    <n v="7.0000000000000007E-2"/>
    <n v="0.03"/>
    <n v="0.1"/>
  </r>
  <r>
    <x v="0"/>
    <x v="0"/>
    <x v="16"/>
    <n v="0.08"/>
    <n v="0.04"/>
    <n v="0.12"/>
  </r>
  <r>
    <x v="0"/>
    <x v="0"/>
    <x v="17"/>
    <n v="0.23"/>
    <n v="0.14000000000000001"/>
    <n v="0.37"/>
  </r>
  <r>
    <x v="0"/>
    <x v="0"/>
    <x v="18"/>
    <n v="0.23"/>
    <n v="0.14000000000000001"/>
    <n v="0.37"/>
  </r>
  <r>
    <x v="0"/>
    <x v="0"/>
    <x v="9"/>
    <n v="0.34"/>
    <n v="0.16"/>
    <n v="0.5"/>
  </r>
  <r>
    <x v="0"/>
    <x v="0"/>
    <x v="10"/>
    <n v="0.34"/>
    <n v="0.18"/>
    <n v="0.52"/>
  </r>
  <r>
    <x v="0"/>
    <x v="0"/>
    <x v="11"/>
    <n v="4.25"/>
    <n v="0.39"/>
    <n v="4.6399999999999997"/>
  </r>
  <r>
    <x v="0"/>
    <x v="0"/>
    <x v="12"/>
    <n v="4.26"/>
    <n v="0.41"/>
    <n v="4.67"/>
  </r>
  <r>
    <x v="0"/>
    <x v="0"/>
    <x v="13"/>
    <n v="0.12"/>
    <n v="0.06"/>
    <n v="0.18"/>
  </r>
  <r>
    <x v="0"/>
    <x v="0"/>
    <x v="14"/>
    <n v="0.12"/>
    <n v="0.06"/>
    <n v="0.18"/>
  </r>
  <r>
    <x v="0"/>
    <x v="0"/>
    <x v="15"/>
    <n v="7.0000000000000007E-2"/>
    <n v="0.03"/>
    <n v="0.1"/>
  </r>
  <r>
    <x v="0"/>
    <x v="0"/>
    <x v="16"/>
    <n v="0.08"/>
    <n v="0.04"/>
    <n v="0.12"/>
  </r>
  <r>
    <x v="0"/>
    <x v="0"/>
    <x v="17"/>
    <n v="0.23"/>
    <n v="0.14000000000000001"/>
    <n v="0.37"/>
  </r>
  <r>
    <x v="0"/>
    <x v="0"/>
    <x v="18"/>
    <n v="0.23"/>
    <n v="0.14000000000000001"/>
    <n v="0.37"/>
  </r>
  <r>
    <x v="0"/>
    <x v="0"/>
    <x v="9"/>
    <n v="0.34"/>
    <n v="0.17"/>
    <n v="0.51"/>
  </r>
  <r>
    <x v="0"/>
    <x v="0"/>
    <x v="10"/>
    <n v="0.34"/>
    <n v="0.16"/>
    <n v="0.5"/>
  </r>
  <r>
    <x v="0"/>
    <x v="0"/>
    <x v="11"/>
    <n v="4.26"/>
    <n v="0.4"/>
    <n v="4.66"/>
  </r>
  <r>
    <x v="0"/>
    <x v="0"/>
    <x v="12"/>
    <n v="4.3"/>
    <n v="0.4"/>
    <n v="4.7"/>
  </r>
  <r>
    <x v="0"/>
    <x v="0"/>
    <x v="13"/>
    <n v="0.13"/>
    <n v="0.06"/>
    <n v="0.19"/>
  </r>
  <r>
    <x v="0"/>
    <x v="0"/>
    <x v="14"/>
    <n v="0.13"/>
    <n v="7.0000000000000007E-2"/>
    <n v="0.2"/>
  </r>
  <r>
    <x v="0"/>
    <x v="0"/>
    <x v="15"/>
    <n v="0.08"/>
    <n v="0.04"/>
    <n v="0.12"/>
  </r>
  <r>
    <x v="0"/>
    <x v="0"/>
    <x v="16"/>
    <n v="0.08"/>
    <n v="0.04"/>
    <n v="0.12"/>
  </r>
  <r>
    <x v="0"/>
    <x v="0"/>
    <x v="17"/>
    <n v="0.24"/>
    <n v="0.15"/>
    <n v="0.39"/>
  </r>
  <r>
    <x v="0"/>
    <x v="0"/>
    <x v="18"/>
    <n v="0.24"/>
    <n v="0.15"/>
    <n v="0.39"/>
  </r>
  <r>
    <x v="1"/>
    <x v="1"/>
    <x v="9"/>
    <n v="42.06"/>
    <n v="6.77"/>
    <n v="48.83"/>
  </r>
  <r>
    <x v="1"/>
    <x v="1"/>
    <x v="10"/>
    <n v="21.19"/>
    <n v="5.1100000000000003"/>
    <n v="26.3"/>
  </r>
  <r>
    <x v="1"/>
    <x v="1"/>
    <x v="11"/>
    <n v="10.23"/>
    <n v="2.3199999999999998"/>
    <n v="12.55"/>
  </r>
  <r>
    <x v="1"/>
    <x v="1"/>
    <x v="12"/>
    <n v="13.21"/>
    <n v="2.86"/>
    <n v="16.07"/>
  </r>
  <r>
    <x v="1"/>
    <x v="1"/>
    <x v="13"/>
    <n v="6.45"/>
    <n v="1.83"/>
    <n v="8.2800000000000011"/>
  </r>
  <r>
    <x v="1"/>
    <x v="1"/>
    <x v="14"/>
    <n v="6.57"/>
    <n v="1.8"/>
    <n v="8.370000000000001"/>
  </r>
  <r>
    <x v="1"/>
    <x v="1"/>
    <x v="15"/>
    <n v="14.12"/>
    <n v="2.69"/>
    <n v="16.809999999999999"/>
  </r>
  <r>
    <x v="1"/>
    <x v="1"/>
    <x v="16"/>
    <n v="14.04"/>
    <n v="2.39"/>
    <n v="16.43"/>
  </r>
  <r>
    <x v="1"/>
    <x v="1"/>
    <x v="17"/>
    <n v="22.96"/>
    <n v="5.07"/>
    <n v="28.03"/>
  </r>
  <r>
    <x v="1"/>
    <x v="1"/>
    <x v="18"/>
    <n v="37.1"/>
    <n v="5.62"/>
    <n v="42.72"/>
  </r>
  <r>
    <x v="1"/>
    <x v="1"/>
    <x v="9"/>
    <n v="28.25"/>
    <n v="6.28"/>
    <n v="34.53"/>
  </r>
  <r>
    <x v="1"/>
    <x v="1"/>
    <x v="10"/>
    <n v="20.93"/>
    <n v="5.08"/>
    <n v="26.009999999999998"/>
  </r>
  <r>
    <x v="1"/>
    <x v="1"/>
    <x v="11"/>
    <n v="10.39"/>
    <n v="2.4"/>
    <n v="12.790000000000001"/>
  </r>
  <r>
    <x v="1"/>
    <x v="1"/>
    <x v="12"/>
    <n v="13.16"/>
    <n v="2.8"/>
    <n v="15.96"/>
  </r>
  <r>
    <x v="1"/>
    <x v="1"/>
    <x v="13"/>
    <n v="6.43"/>
    <n v="1.8"/>
    <n v="8.23"/>
  </r>
  <r>
    <x v="1"/>
    <x v="1"/>
    <x v="14"/>
    <n v="6.58"/>
    <n v="1.8"/>
    <n v="8.3800000000000008"/>
  </r>
  <r>
    <x v="1"/>
    <x v="1"/>
    <x v="15"/>
    <n v="13.93"/>
    <n v="2.7"/>
    <n v="16.63"/>
  </r>
  <r>
    <x v="1"/>
    <x v="1"/>
    <x v="16"/>
    <n v="14.6"/>
    <n v="2.38"/>
    <n v="16.98"/>
  </r>
  <r>
    <x v="1"/>
    <x v="1"/>
    <x v="17"/>
    <n v="23.67"/>
    <n v="5.17"/>
    <n v="28.840000000000003"/>
  </r>
  <r>
    <x v="1"/>
    <x v="1"/>
    <x v="18"/>
    <n v="34.76"/>
    <n v="7.45"/>
    <n v="42.21"/>
  </r>
  <r>
    <x v="1"/>
    <x v="1"/>
    <x v="9"/>
    <n v="27.57"/>
    <n v="6.25"/>
    <n v="33.82"/>
  </r>
  <r>
    <x v="1"/>
    <x v="1"/>
    <x v="10"/>
    <n v="21.33"/>
    <n v="5.15"/>
    <n v="26.479999999999997"/>
  </r>
  <r>
    <x v="1"/>
    <x v="1"/>
    <x v="11"/>
    <n v="10.44"/>
    <n v="2.36"/>
    <n v="12.799999999999999"/>
  </r>
  <r>
    <x v="1"/>
    <x v="1"/>
    <x v="12"/>
    <n v="15.1"/>
    <n v="2.98"/>
    <n v="18.079999999999998"/>
  </r>
  <r>
    <x v="1"/>
    <x v="1"/>
    <x v="13"/>
    <n v="10.08"/>
    <n v="2"/>
    <n v="12.08"/>
  </r>
  <r>
    <x v="1"/>
    <x v="1"/>
    <x v="14"/>
    <n v="6.66"/>
    <n v="1.85"/>
    <n v="8.51"/>
  </r>
  <r>
    <x v="1"/>
    <x v="1"/>
    <x v="15"/>
    <n v="14.25"/>
    <n v="2.68"/>
    <n v="16.93"/>
  </r>
  <r>
    <x v="1"/>
    <x v="1"/>
    <x v="16"/>
    <n v="14.41"/>
    <n v="2.4500000000000002"/>
    <n v="16.86"/>
  </r>
  <r>
    <x v="1"/>
    <x v="1"/>
    <x v="17"/>
    <n v="23.62"/>
    <n v="5.39"/>
    <n v="29.01"/>
  </r>
  <r>
    <x v="1"/>
    <x v="1"/>
    <x v="18"/>
    <n v="37.42"/>
    <n v="5.74"/>
    <n v="43.160000000000004"/>
  </r>
  <r>
    <x v="1"/>
    <x v="1"/>
    <x v="9"/>
    <n v="42.54"/>
    <n v="6.93"/>
    <n v="49.47"/>
  </r>
  <r>
    <x v="1"/>
    <x v="1"/>
    <x v="10"/>
    <n v="21.12"/>
    <n v="5.08"/>
    <n v="26.200000000000003"/>
  </r>
  <r>
    <x v="1"/>
    <x v="1"/>
    <x v="11"/>
    <n v="10.47"/>
    <n v="2.4500000000000002"/>
    <n v="12.920000000000002"/>
  </r>
  <r>
    <x v="1"/>
    <x v="1"/>
    <x v="12"/>
    <n v="13.28"/>
    <n v="2.91"/>
    <n v="16.189999999999998"/>
  </r>
  <r>
    <x v="1"/>
    <x v="1"/>
    <x v="13"/>
    <n v="6.45"/>
    <n v="1.85"/>
    <n v="8.3000000000000007"/>
  </r>
  <r>
    <x v="1"/>
    <x v="1"/>
    <x v="14"/>
    <n v="6.73"/>
    <n v="1.93"/>
    <n v="8.66"/>
  </r>
  <r>
    <x v="1"/>
    <x v="1"/>
    <x v="15"/>
    <n v="14.2"/>
    <n v="2.7"/>
    <n v="16.899999999999999"/>
  </r>
  <r>
    <x v="1"/>
    <x v="1"/>
    <x v="16"/>
    <n v="15.51"/>
    <n v="2.64"/>
    <n v="18.149999999999999"/>
  </r>
  <r>
    <x v="1"/>
    <x v="1"/>
    <x v="17"/>
    <n v="23.52"/>
    <n v="5.33"/>
    <n v="28.85"/>
  </r>
  <r>
    <x v="1"/>
    <x v="1"/>
    <x v="18"/>
    <n v="36.340000000000003"/>
    <n v="5.99"/>
    <n v="42.330000000000005"/>
  </r>
  <r>
    <x v="1"/>
    <x v="1"/>
    <x v="9"/>
    <n v="27.39"/>
    <n v="6.18"/>
    <n v="33.57"/>
  </r>
  <r>
    <x v="1"/>
    <x v="1"/>
    <x v="10"/>
    <n v="21.19"/>
    <n v="5"/>
    <n v="26.19"/>
  </r>
  <r>
    <x v="1"/>
    <x v="1"/>
    <x v="11"/>
    <n v="10.35"/>
    <n v="2.29"/>
    <n v="12.64"/>
  </r>
  <r>
    <x v="1"/>
    <x v="1"/>
    <x v="12"/>
    <n v="13.22"/>
    <n v="2.79"/>
    <n v="16.010000000000002"/>
  </r>
  <r>
    <x v="1"/>
    <x v="1"/>
    <x v="13"/>
    <n v="6.59"/>
    <n v="1.84"/>
    <n v="8.43"/>
  </r>
  <r>
    <x v="1"/>
    <x v="1"/>
    <x v="14"/>
    <n v="6.59"/>
    <n v="1.81"/>
    <n v="8.4"/>
  </r>
  <r>
    <x v="1"/>
    <x v="1"/>
    <x v="15"/>
    <n v="13.98"/>
    <n v="2.59"/>
    <n v="16.57"/>
  </r>
  <r>
    <x v="1"/>
    <x v="1"/>
    <x v="16"/>
    <n v="14.26"/>
    <n v="2.37"/>
    <n v="16.63"/>
  </r>
  <r>
    <x v="1"/>
    <x v="1"/>
    <x v="17"/>
    <n v="23.06"/>
    <n v="5.1100000000000003"/>
    <n v="28.169999999999998"/>
  </r>
  <r>
    <x v="1"/>
    <x v="1"/>
    <x v="18"/>
    <n v="35.51"/>
    <n v="6.71"/>
    <n v="42.22"/>
  </r>
  <r>
    <x v="1"/>
    <x v="1"/>
    <x v="9"/>
    <n v="42.41"/>
    <n v="6.76"/>
    <n v="49.169999999999995"/>
  </r>
  <r>
    <x v="1"/>
    <x v="1"/>
    <x v="10"/>
    <n v="21.6"/>
    <n v="5.22"/>
    <n v="26.82"/>
  </r>
  <r>
    <x v="1"/>
    <x v="1"/>
    <x v="11"/>
    <n v="10.29"/>
    <n v="2.29"/>
    <n v="12.579999999999998"/>
  </r>
  <r>
    <x v="1"/>
    <x v="1"/>
    <x v="12"/>
    <n v="13.12"/>
    <n v="2.78"/>
    <n v="15.899999999999999"/>
  </r>
  <r>
    <x v="1"/>
    <x v="1"/>
    <x v="13"/>
    <n v="6.49"/>
    <n v="1.79"/>
    <n v="8.2800000000000011"/>
  </r>
  <r>
    <x v="1"/>
    <x v="1"/>
    <x v="14"/>
    <n v="6.68"/>
    <n v="1.86"/>
    <n v="8.5399999999999991"/>
  </r>
  <r>
    <x v="1"/>
    <x v="1"/>
    <x v="15"/>
    <n v="14.16"/>
    <n v="2.69"/>
    <n v="16.850000000000001"/>
  </r>
  <r>
    <x v="1"/>
    <x v="1"/>
    <x v="16"/>
    <n v="15.07"/>
    <n v="2.48"/>
    <n v="17.55"/>
  </r>
  <r>
    <x v="1"/>
    <x v="1"/>
    <x v="17"/>
    <n v="23.66"/>
    <n v="5.08"/>
    <n v="28.740000000000002"/>
  </r>
  <r>
    <x v="1"/>
    <x v="1"/>
    <x v="18"/>
    <n v="35.950000000000003"/>
    <n v="6.15"/>
    <n v="42.1"/>
  </r>
  <r>
    <x v="1"/>
    <x v="0"/>
    <x v="9"/>
    <n v="34.340000000000003"/>
    <n v="8.5299999999999994"/>
    <n v="42.870000000000005"/>
  </r>
  <r>
    <x v="1"/>
    <x v="0"/>
    <x v="10"/>
    <n v="26.9"/>
    <n v="6.32"/>
    <n v="33.22"/>
  </r>
  <r>
    <x v="1"/>
    <x v="0"/>
    <x v="11"/>
    <n v="9.9600000000000009"/>
    <n v="2.23"/>
    <n v="12.190000000000001"/>
  </r>
  <r>
    <x v="1"/>
    <x v="0"/>
    <x v="12"/>
    <n v="12.58"/>
    <n v="2.37"/>
    <n v="14.95"/>
  </r>
  <r>
    <x v="1"/>
    <x v="0"/>
    <x v="13"/>
    <n v="6.09"/>
    <n v="1.56"/>
    <n v="7.65"/>
  </r>
  <r>
    <x v="1"/>
    <x v="0"/>
    <x v="14"/>
    <n v="11.96"/>
    <n v="1.89"/>
    <n v="13.850000000000001"/>
  </r>
  <r>
    <x v="1"/>
    <x v="0"/>
    <x v="15"/>
    <n v="15.74"/>
    <n v="2.72"/>
    <n v="18.46"/>
  </r>
  <r>
    <x v="1"/>
    <x v="0"/>
    <x v="16"/>
    <n v="14.88"/>
    <n v="2.37"/>
    <n v="17.25"/>
  </r>
  <r>
    <x v="1"/>
    <x v="0"/>
    <x v="17"/>
    <n v="21.89"/>
    <n v="4.76"/>
    <n v="26.65"/>
  </r>
  <r>
    <x v="1"/>
    <x v="0"/>
    <x v="18"/>
    <n v="34.68"/>
    <n v="5.71"/>
    <n v="40.39"/>
  </r>
  <r>
    <x v="1"/>
    <x v="0"/>
    <x v="9"/>
    <n v="54.85"/>
    <n v="8.84"/>
    <n v="63.69"/>
  </r>
  <r>
    <x v="1"/>
    <x v="0"/>
    <x v="10"/>
    <n v="27.21"/>
    <n v="6.49"/>
    <n v="33.700000000000003"/>
  </r>
  <r>
    <x v="1"/>
    <x v="0"/>
    <x v="11"/>
    <n v="10.14"/>
    <n v="2.2200000000000002"/>
    <n v="12.360000000000001"/>
  </r>
  <r>
    <x v="1"/>
    <x v="0"/>
    <x v="12"/>
    <n v="12.85"/>
    <n v="2.63"/>
    <n v="15.48"/>
  </r>
  <r>
    <x v="1"/>
    <x v="0"/>
    <x v="13"/>
    <n v="6.26"/>
    <n v="1.73"/>
    <n v="7.99"/>
  </r>
  <r>
    <x v="1"/>
    <x v="0"/>
    <x v="14"/>
    <n v="6.8"/>
    <n v="1.73"/>
    <n v="8.5299999999999994"/>
  </r>
  <r>
    <x v="1"/>
    <x v="0"/>
    <x v="15"/>
    <n v="15.84"/>
    <n v="2.6"/>
    <n v="18.440000000000001"/>
  </r>
  <r>
    <x v="1"/>
    <x v="0"/>
    <x v="16"/>
    <n v="15.25"/>
    <n v="2.36"/>
    <n v="17.61"/>
  </r>
  <r>
    <x v="1"/>
    <x v="0"/>
    <x v="17"/>
    <n v="22.49"/>
    <n v="4.7699999999999996"/>
    <n v="27.259999999999998"/>
  </r>
  <r>
    <x v="1"/>
    <x v="0"/>
    <x v="18"/>
    <n v="35.18"/>
    <n v="5.7"/>
    <n v="40.880000000000003"/>
  </r>
  <r>
    <x v="1"/>
    <x v="0"/>
    <x v="9"/>
    <n v="35.11"/>
    <n v="7.94"/>
    <n v="43.05"/>
  </r>
  <r>
    <x v="1"/>
    <x v="0"/>
    <x v="10"/>
    <n v="27.34"/>
    <n v="6.47"/>
    <n v="33.81"/>
  </r>
  <r>
    <x v="1"/>
    <x v="0"/>
    <x v="11"/>
    <n v="10.18"/>
    <n v="2.19"/>
    <n v="12.37"/>
  </r>
  <r>
    <x v="1"/>
    <x v="0"/>
    <x v="12"/>
    <n v="13.11"/>
    <n v="2.69"/>
    <n v="15.799999999999999"/>
  </r>
  <r>
    <x v="1"/>
    <x v="0"/>
    <x v="13"/>
    <n v="6.38"/>
    <n v="1.74"/>
    <n v="8.1199999999999992"/>
  </r>
  <r>
    <x v="1"/>
    <x v="0"/>
    <x v="14"/>
    <n v="7.1"/>
    <n v="1.6"/>
    <n v="8.6999999999999993"/>
  </r>
  <r>
    <x v="1"/>
    <x v="0"/>
    <x v="15"/>
    <n v="16.149999999999999"/>
    <n v="2.73"/>
    <n v="18.88"/>
  </r>
  <r>
    <x v="1"/>
    <x v="0"/>
    <x v="16"/>
    <n v="16.12"/>
    <n v="2.4700000000000002"/>
    <n v="18.59"/>
  </r>
  <r>
    <x v="1"/>
    <x v="0"/>
    <x v="17"/>
    <n v="22.76"/>
    <n v="4.83"/>
    <n v="27.590000000000003"/>
  </r>
  <r>
    <x v="1"/>
    <x v="0"/>
    <x v="18"/>
    <n v="35.42"/>
    <n v="5.78"/>
    <n v="41.2"/>
  </r>
  <r>
    <x v="1"/>
    <x v="0"/>
    <x v="9"/>
    <n v="55.73"/>
    <n v="9.01"/>
    <n v="64.739999999999995"/>
  </r>
  <r>
    <x v="1"/>
    <x v="0"/>
    <x v="10"/>
    <n v="27.85"/>
    <n v="6.8"/>
    <n v="34.65"/>
  </r>
  <r>
    <x v="1"/>
    <x v="0"/>
    <x v="11"/>
    <n v="10.31"/>
    <n v="2.29"/>
    <n v="12.600000000000001"/>
  </r>
  <r>
    <x v="1"/>
    <x v="0"/>
    <x v="12"/>
    <n v="13.02"/>
    <n v="2.68"/>
    <n v="15.7"/>
  </r>
  <r>
    <x v="1"/>
    <x v="0"/>
    <x v="13"/>
    <n v="12.21"/>
    <n v="1.98"/>
    <n v="14.190000000000001"/>
  </r>
  <r>
    <x v="1"/>
    <x v="0"/>
    <x v="14"/>
    <n v="7.12"/>
    <n v="1.72"/>
    <n v="8.84"/>
  </r>
  <r>
    <x v="1"/>
    <x v="0"/>
    <x v="15"/>
    <n v="15.97"/>
    <n v="2.78"/>
    <n v="18.75"/>
  </r>
  <r>
    <x v="1"/>
    <x v="0"/>
    <x v="16"/>
    <n v="15.2"/>
    <n v="2.37"/>
    <n v="17.57"/>
  </r>
  <r>
    <x v="1"/>
    <x v="0"/>
    <x v="17"/>
    <n v="22.48"/>
    <n v="4.9000000000000004"/>
    <n v="27.380000000000003"/>
  </r>
  <r>
    <x v="1"/>
    <x v="0"/>
    <x v="18"/>
    <n v="36.97"/>
    <n v="5.53"/>
    <n v="42.5"/>
  </r>
  <r>
    <x v="1"/>
    <x v="0"/>
    <x v="9"/>
    <n v="35.85"/>
    <n v="8.1999999999999993"/>
    <n v="44.05"/>
  </r>
  <r>
    <x v="1"/>
    <x v="0"/>
    <x v="10"/>
    <n v="27.47"/>
    <n v="6.66"/>
    <n v="34.129999999999995"/>
  </r>
  <r>
    <x v="1"/>
    <x v="0"/>
    <x v="11"/>
    <n v="10.220000000000001"/>
    <n v="2.23"/>
    <n v="12.450000000000001"/>
  </r>
  <r>
    <x v="1"/>
    <x v="0"/>
    <x v="12"/>
    <n v="13.06"/>
    <n v="2.68"/>
    <n v="15.74"/>
  </r>
  <r>
    <x v="1"/>
    <x v="0"/>
    <x v="13"/>
    <n v="11.98"/>
    <n v="2"/>
    <n v="13.98"/>
  </r>
  <r>
    <x v="1"/>
    <x v="0"/>
    <x v="14"/>
    <n v="7.13"/>
    <n v="1.79"/>
    <n v="8.92"/>
  </r>
  <r>
    <x v="1"/>
    <x v="0"/>
    <x v="15"/>
    <n v="15.96"/>
    <n v="2.77"/>
    <n v="18.73"/>
  </r>
  <r>
    <x v="1"/>
    <x v="0"/>
    <x v="16"/>
    <n v="16.12"/>
    <n v="2.4900000000000002"/>
    <n v="18.61"/>
  </r>
  <r>
    <x v="1"/>
    <x v="0"/>
    <x v="17"/>
    <n v="22.51"/>
    <n v="4.92"/>
    <n v="27.43"/>
  </r>
  <r>
    <x v="1"/>
    <x v="0"/>
    <x v="18"/>
    <n v="34.119999999999997"/>
    <n v="6.43"/>
    <n v="40.549999999999997"/>
  </r>
  <r>
    <x v="1"/>
    <x v="0"/>
    <x v="9"/>
    <n v="36.07"/>
    <n v="8.1999999999999993"/>
    <n v="44.269999999999996"/>
  </r>
  <r>
    <x v="1"/>
    <x v="0"/>
    <x v="10"/>
    <n v="27.53"/>
    <n v="6.84"/>
    <n v="34.370000000000005"/>
  </r>
  <r>
    <x v="1"/>
    <x v="0"/>
    <x v="11"/>
    <n v="10.210000000000001"/>
    <n v="2.21"/>
    <n v="12.420000000000002"/>
  </r>
  <r>
    <x v="1"/>
    <x v="0"/>
    <x v="12"/>
    <n v="13.01"/>
    <n v="2.68"/>
    <n v="15.69"/>
  </r>
  <r>
    <x v="1"/>
    <x v="0"/>
    <x v="13"/>
    <n v="6.25"/>
    <n v="1.72"/>
    <n v="7.97"/>
  </r>
  <r>
    <x v="1"/>
    <x v="0"/>
    <x v="14"/>
    <n v="7.13"/>
    <n v="1.8"/>
    <n v="8.93"/>
  </r>
  <r>
    <x v="1"/>
    <x v="0"/>
    <x v="15"/>
    <n v="15.61"/>
    <n v="2.68"/>
    <n v="18.29"/>
  </r>
  <r>
    <x v="1"/>
    <x v="0"/>
    <x v="16"/>
    <n v="15.91"/>
    <n v="2.4500000000000002"/>
    <n v="18.36"/>
  </r>
  <r>
    <x v="1"/>
    <x v="0"/>
    <x v="17"/>
    <n v="22.71"/>
    <n v="5.04"/>
    <n v="27.75"/>
  </r>
  <r>
    <x v="1"/>
    <x v="0"/>
    <x v="18"/>
    <n v="36.76"/>
    <n v="5.62"/>
    <n v="42.379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29666-AA5A-1443-AA40-19E7C65F731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62" firstHeaderRow="1" firstDataRow="2" firstDataCol="1"/>
  <pivotFields count="6">
    <pivotField axis="axisRow" showAll="0">
      <items count="5">
        <item m="1" x="2"/>
        <item m="1" x="3"/>
        <item x="0"/>
        <item x="1"/>
        <item t="default"/>
      </items>
    </pivotField>
    <pivotField axis="axisCol" showAll="0">
      <items count="5">
        <item m="1" x="2"/>
        <item m="1" x="3"/>
        <item x="0"/>
        <item x="1"/>
        <item t="default"/>
      </items>
    </pivotField>
    <pivotField axis="axisRow" showAll="0">
      <items count="20">
        <item x="0"/>
        <item x="1"/>
        <item x="3"/>
        <item x="2"/>
        <item x="4"/>
        <item x="5"/>
        <item x="8"/>
        <item x="7"/>
        <item x="6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dataField="1" showAll="0"/>
  </pivotFields>
  <rowFields count="2">
    <field x="2"/>
    <field x="0"/>
  </rowFields>
  <rowItems count="58">
    <i>
      <x/>
    </i>
    <i r="1">
      <x v="2"/>
    </i>
    <i r="1">
      <x v="3"/>
    </i>
    <i>
      <x v="1"/>
    </i>
    <i r="1">
      <x v="2"/>
    </i>
    <i r="1">
      <x v="3"/>
    </i>
    <i>
      <x v="2"/>
    </i>
    <i r="1">
      <x v="2"/>
    </i>
    <i r="1">
      <x v="3"/>
    </i>
    <i>
      <x v="3"/>
    </i>
    <i r="1">
      <x v="2"/>
    </i>
    <i r="1">
      <x v="3"/>
    </i>
    <i>
      <x v="4"/>
    </i>
    <i r="1">
      <x v="2"/>
    </i>
    <i r="1">
      <x v="3"/>
    </i>
    <i>
      <x v="5"/>
    </i>
    <i r="1">
      <x v="2"/>
    </i>
    <i r="1">
      <x v="3"/>
    </i>
    <i>
      <x v="6"/>
    </i>
    <i r="1">
      <x v="2"/>
    </i>
    <i r="1">
      <x v="3"/>
    </i>
    <i>
      <x v="7"/>
    </i>
    <i r="1">
      <x v="2"/>
    </i>
    <i r="1">
      <x v="3"/>
    </i>
    <i>
      <x v="8"/>
    </i>
    <i r="1">
      <x v="2"/>
    </i>
    <i r="1">
      <x v="3"/>
    </i>
    <i>
      <x v="9"/>
    </i>
    <i r="1">
      <x v="2"/>
    </i>
    <i r="1">
      <x v="3"/>
    </i>
    <i>
      <x v="10"/>
    </i>
    <i r="1">
      <x v="2"/>
    </i>
    <i r="1">
      <x v="3"/>
    </i>
    <i>
      <x v="11"/>
    </i>
    <i r="1">
      <x v="2"/>
    </i>
    <i r="1">
      <x v="3"/>
    </i>
    <i>
      <x v="12"/>
    </i>
    <i r="1">
      <x v="2"/>
    </i>
    <i r="1">
      <x v="3"/>
    </i>
    <i>
      <x v="13"/>
    </i>
    <i r="1">
      <x v="2"/>
    </i>
    <i r="1">
      <x v="3"/>
    </i>
    <i>
      <x v="14"/>
    </i>
    <i r="1">
      <x v="2"/>
    </i>
    <i r="1">
      <x v="3"/>
    </i>
    <i>
      <x v="15"/>
    </i>
    <i r="1">
      <x v="2"/>
    </i>
    <i r="1">
      <x v="3"/>
    </i>
    <i>
      <x v="16"/>
    </i>
    <i r="1">
      <x v="2"/>
    </i>
    <i r="1">
      <x v="3"/>
    </i>
    <i>
      <x v="17"/>
    </i>
    <i r="1">
      <x v="2"/>
    </i>
    <i r="1">
      <x v="3"/>
    </i>
    <i>
      <x v="18"/>
    </i>
    <i r="1">
      <x v="2"/>
    </i>
    <i r="1">
      <x v="3"/>
    </i>
    <i t="grand">
      <x/>
    </i>
  </rowItems>
  <colFields count="1">
    <field x="1"/>
  </colFields>
  <colItems count="3">
    <i>
      <x v="2"/>
    </i>
    <i>
      <x v="3"/>
    </i>
    <i t="grand">
      <x/>
    </i>
  </colItems>
  <dataFields count="1">
    <dataField name="Sum of Sum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5FC8E-D0FD-8A49-8498-7968C42044B1}" name="Table1" displayName="Table1" ref="A1:E21" totalsRowCount="1">
  <autoFilter ref="A1:E20" xr:uid="{B1F5FC8E-D0FD-8A49-8498-7968C42044B1}"/>
  <sortState xmlns:xlrd2="http://schemas.microsoft.com/office/spreadsheetml/2017/richdata2" ref="A2:E20">
    <sortCondition ref="D1:D20"/>
  </sortState>
  <tableColumns count="5">
    <tableColumn id="1" xr3:uid="{B0C7120F-4C7F-1643-8D58-6FA251E0BD8E}" name="Theory" totalsRowLabel="Total"/>
    <tableColumn id="3" xr3:uid="{15CF9D06-D850-4149-A8EC-50A9E0C43DCD}" name="Old" dataDxfId="7"/>
    <tableColumn id="4" xr3:uid="{54D1268D-5C52-904F-9B56-6442067CDA55}" name="New" dataDxfId="6"/>
    <tableColumn id="6" xr3:uid="{A674F842-A2F8-4342-903D-2B0D11AC1458}" name="Speedup Absolute" dataDxfId="1">
      <calculatedColumnFormula>Table1[[#This Row],[New]]-Table1[[#This Row],[Old]]</calculatedColumnFormula>
    </tableColumn>
    <tableColumn id="5" xr3:uid="{54DA73FB-0436-BC4F-B96F-E616171F2B17}" name="Speedup Relative" totalsRowFunction="custom" dataDxfId="2" totalsRowDxfId="5" dataCellStyle="Percent">
      <calculatedColumnFormula>Table1[[#This Row],[New]]/Table1[[#This Row],[Old]]</calculatedColumnFormula>
      <totalsRowFormula>SUBTOTAL(1,Table1[Speedup Relative])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FCCD7-356A-364E-B70A-2FF85D8F7228}" name="Table2" displayName="Table2" ref="A1:E21" totalsRowCount="1">
  <autoFilter ref="A1:E20" xr:uid="{FE5FCCD7-356A-364E-B70A-2FF85D8F7228}"/>
  <sortState xmlns:xlrd2="http://schemas.microsoft.com/office/spreadsheetml/2017/richdata2" ref="A2:E20">
    <sortCondition ref="D1:D20"/>
  </sortState>
  <tableColumns count="5">
    <tableColumn id="1" xr3:uid="{62380829-4076-B641-B74D-C168DDBA99F3}" name="Theory" totalsRowLabel="Total"/>
    <tableColumn id="3" xr3:uid="{43DB2F9D-E8BC-2148-BE3C-2746441702FE}" name="Old" dataDxfId="10"/>
    <tableColumn id="4" xr3:uid="{C4E27E5A-C459-9E4D-B6CC-9B45E9E502C2}" name="New" dataDxfId="9"/>
    <tableColumn id="5" xr3:uid="{70F424DE-DFF6-B748-858B-2C3F776F1D05}" name="Speedup Absolute" dataDxfId="3">
      <calculatedColumnFormula>Table2[[#This Row],[New]]-Table2[[#This Row],[Old]]</calculatedColumnFormula>
    </tableColumn>
    <tableColumn id="6" xr3:uid="{7BFF99AE-129A-644B-B283-CAE7CB5DD4A7}" name="Speedup Relative" totalsRowFunction="custom" dataDxfId="0" totalsRowDxfId="8" dataCellStyle="Percent" totalsRowCellStyle="Percent">
      <calculatedColumnFormula>Table2[[#This Row],[New]]/Table2[[#This Row],[Old]]</calculatedColumnFormula>
      <totalsRowFormula>SUBTOTAL(1,Table2[Speedup Relative])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4DFF15-574C-074E-A191-98A3447CB06D}" name="Table3" displayName="Table3" ref="A1:F457" totalsRowShown="0">
  <autoFilter ref="A1:F457" xr:uid="{BE4DFF15-574C-074E-A191-98A3447CB06D}"/>
  <sortState xmlns:xlrd2="http://schemas.microsoft.com/office/spreadsheetml/2017/richdata2" ref="A2:F2">
    <sortCondition ref="C1:C2"/>
  </sortState>
  <tableColumns count="6">
    <tableColumn id="6" xr3:uid="{110C10A4-9FB8-4547-A60E-4D88BC42B521}" name="Prove?"/>
    <tableColumn id="5" xr3:uid="{FC130346-6D18-FC4E-BADA-EE73F675337A}" name="Optimized?"/>
    <tableColumn id="1" xr3:uid="{A6009477-5414-1846-8AA8-C63C0FB49A39}" name="Theory"/>
    <tableColumn id="2" xr3:uid="{DA754493-9B01-5E4C-93A0-B883AE6D6158}" name="User"/>
    <tableColumn id="3" xr3:uid="{C68678B9-4154-9E4B-8A14-CE222DB15C00}" name="Sys"/>
    <tableColumn id="7" xr3:uid="{26B1A19C-B95B-0D40-812E-1ACF40858C87}" name="Sum" dataDxfId="4">
      <calculatedColumnFormula>Table3[[#This Row],[User]]+Table3[[#This Row],[Sys]]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DB69-F918-7A4E-8E18-5EDD64407BB1}">
  <dimension ref="A3:D62"/>
  <sheetViews>
    <sheetView topLeftCell="A8" workbookViewId="0">
      <selection activeCell="C22" sqref="C22"/>
    </sheetView>
  </sheetViews>
  <sheetFormatPr baseColWidth="10" defaultRowHeight="16" x14ac:dyDescent="0.2"/>
  <cols>
    <col min="1" max="1" width="55.1640625" bestFit="1" customWidth="1"/>
    <col min="2" max="2" width="16" bestFit="1" customWidth="1"/>
    <col min="3" max="3" width="8.1640625" bestFit="1" customWidth="1"/>
    <col min="4" max="4" width="10.5" bestFit="1" customWidth="1"/>
    <col min="5" max="5" width="11.83203125" bestFit="1" customWidth="1"/>
    <col min="6" max="6" width="15.1640625" bestFit="1" customWidth="1"/>
    <col min="7" max="7" width="16.33203125" bestFit="1" customWidth="1"/>
    <col min="8" max="8" width="12.1640625" bestFit="1" customWidth="1"/>
  </cols>
  <sheetData>
    <row r="3" spans="1:4" x14ac:dyDescent="0.2">
      <c r="A3" s="1" t="s">
        <v>32</v>
      </c>
      <c r="B3" s="1" t="s">
        <v>17</v>
      </c>
    </row>
    <row r="4" spans="1:4" x14ac:dyDescent="0.2">
      <c r="A4" s="1" t="s">
        <v>14</v>
      </c>
      <c r="B4" t="s">
        <v>19</v>
      </c>
      <c r="C4" t="s">
        <v>20</v>
      </c>
      <c r="D4" t="s">
        <v>15</v>
      </c>
    </row>
    <row r="5" spans="1:4" x14ac:dyDescent="0.2">
      <c r="A5" s="2" t="s">
        <v>0</v>
      </c>
      <c r="B5">
        <v>691.94</v>
      </c>
      <c r="C5">
        <v>437.25</v>
      </c>
      <c r="D5">
        <v>1129.19</v>
      </c>
    </row>
    <row r="6" spans="1:4" x14ac:dyDescent="0.2">
      <c r="A6" s="3" t="s">
        <v>18</v>
      </c>
      <c r="B6">
        <v>113.86</v>
      </c>
      <c r="C6">
        <v>36.32</v>
      </c>
      <c r="D6">
        <v>150.18</v>
      </c>
    </row>
    <row r="7" spans="1:4" x14ac:dyDescent="0.2">
      <c r="A7" s="3" t="s">
        <v>21</v>
      </c>
      <c r="B7">
        <v>578.08000000000004</v>
      </c>
      <c r="C7">
        <v>400.93</v>
      </c>
      <c r="D7">
        <v>979.01</v>
      </c>
    </row>
    <row r="8" spans="1:4" x14ac:dyDescent="0.2">
      <c r="A8" s="2" t="s">
        <v>1</v>
      </c>
      <c r="B8">
        <v>549.91999999999996</v>
      </c>
      <c r="C8">
        <v>362.03</v>
      </c>
      <c r="D8">
        <v>911.94999999999993</v>
      </c>
    </row>
    <row r="9" spans="1:4" x14ac:dyDescent="0.2">
      <c r="A9" s="3" t="s">
        <v>18</v>
      </c>
      <c r="B9">
        <v>113.31</v>
      </c>
      <c r="C9">
        <v>36.089999999999996</v>
      </c>
      <c r="D9">
        <v>149.4</v>
      </c>
    </row>
    <row r="10" spans="1:4" x14ac:dyDescent="0.2">
      <c r="A10" s="3" t="s">
        <v>21</v>
      </c>
      <c r="B10">
        <v>436.60999999999996</v>
      </c>
      <c r="C10">
        <v>325.94</v>
      </c>
      <c r="D10">
        <v>762.55</v>
      </c>
    </row>
    <row r="11" spans="1:4" x14ac:dyDescent="0.2">
      <c r="A11" s="2" t="s">
        <v>3</v>
      </c>
      <c r="B11">
        <v>17.419999999999998</v>
      </c>
      <c r="C11">
        <v>14.300000000000002</v>
      </c>
      <c r="D11">
        <v>31.720000000000002</v>
      </c>
    </row>
    <row r="12" spans="1:4" x14ac:dyDescent="0.2">
      <c r="A12" s="3" t="s">
        <v>18</v>
      </c>
      <c r="B12">
        <v>1.98</v>
      </c>
      <c r="C12">
        <v>1.27</v>
      </c>
      <c r="D12">
        <v>3.25</v>
      </c>
    </row>
    <row r="13" spans="1:4" x14ac:dyDescent="0.2">
      <c r="A13" s="3" t="s">
        <v>21</v>
      </c>
      <c r="B13">
        <v>15.44</v>
      </c>
      <c r="C13">
        <v>13.030000000000003</v>
      </c>
      <c r="D13">
        <v>28.470000000000002</v>
      </c>
    </row>
    <row r="14" spans="1:4" x14ac:dyDescent="0.2">
      <c r="A14" s="2" t="s">
        <v>2</v>
      </c>
      <c r="B14">
        <v>17.779999999999998</v>
      </c>
      <c r="C14">
        <v>14.100000000000001</v>
      </c>
      <c r="D14">
        <v>31.88</v>
      </c>
    </row>
    <row r="15" spans="1:4" x14ac:dyDescent="0.2">
      <c r="A15" s="3" t="s">
        <v>18</v>
      </c>
      <c r="B15">
        <v>1.9600000000000002</v>
      </c>
      <c r="C15">
        <v>1.29</v>
      </c>
      <c r="D15">
        <v>3.25</v>
      </c>
    </row>
    <row r="16" spans="1:4" x14ac:dyDescent="0.2">
      <c r="A16" s="3" t="s">
        <v>21</v>
      </c>
      <c r="B16">
        <v>15.819999999999999</v>
      </c>
      <c r="C16">
        <v>12.81</v>
      </c>
      <c r="D16">
        <v>28.63</v>
      </c>
    </row>
    <row r="17" spans="1:4" x14ac:dyDescent="0.2">
      <c r="A17" s="2" t="s">
        <v>4</v>
      </c>
      <c r="B17">
        <v>15.969999999999999</v>
      </c>
      <c r="C17">
        <v>15.889999999999999</v>
      </c>
      <c r="D17">
        <v>31.86</v>
      </c>
    </row>
    <row r="18" spans="1:4" x14ac:dyDescent="0.2">
      <c r="A18" s="3" t="s">
        <v>18</v>
      </c>
      <c r="B18">
        <v>0.61</v>
      </c>
      <c r="C18">
        <v>0.6</v>
      </c>
      <c r="D18">
        <v>1.21</v>
      </c>
    </row>
    <row r="19" spans="1:4" x14ac:dyDescent="0.2">
      <c r="A19" s="3" t="s">
        <v>21</v>
      </c>
      <c r="B19">
        <v>15.36</v>
      </c>
      <c r="C19">
        <v>15.29</v>
      </c>
      <c r="D19">
        <v>30.65</v>
      </c>
    </row>
    <row r="20" spans="1:4" x14ac:dyDescent="0.2">
      <c r="A20" s="2" t="s">
        <v>5</v>
      </c>
      <c r="B20">
        <v>9.879999999999999</v>
      </c>
      <c r="C20">
        <v>9.86</v>
      </c>
      <c r="D20">
        <v>19.739999999999998</v>
      </c>
    </row>
    <row r="21" spans="1:4" x14ac:dyDescent="0.2">
      <c r="A21" s="3" t="s">
        <v>18</v>
      </c>
      <c r="B21">
        <v>0.62</v>
      </c>
      <c r="C21">
        <v>0.6</v>
      </c>
      <c r="D21">
        <v>1.22</v>
      </c>
    </row>
    <row r="22" spans="1:4" x14ac:dyDescent="0.2">
      <c r="A22" s="3" t="s">
        <v>21</v>
      </c>
      <c r="B22">
        <v>9.26</v>
      </c>
      <c r="C22">
        <v>9.26</v>
      </c>
      <c r="D22">
        <v>18.52</v>
      </c>
    </row>
    <row r="23" spans="1:4" x14ac:dyDescent="0.2">
      <c r="A23" s="2" t="s">
        <v>8</v>
      </c>
      <c r="B23">
        <v>195.36</v>
      </c>
      <c r="C23">
        <v>205.98000000000002</v>
      </c>
      <c r="D23">
        <v>401.34000000000003</v>
      </c>
    </row>
    <row r="24" spans="1:4" x14ac:dyDescent="0.2">
      <c r="A24" s="3" t="s">
        <v>18</v>
      </c>
      <c r="B24">
        <v>1.9400000000000002</v>
      </c>
      <c r="C24">
        <v>1.7500000000000002</v>
      </c>
      <c r="D24">
        <v>3.6900000000000004</v>
      </c>
    </row>
    <row r="25" spans="1:4" x14ac:dyDescent="0.2">
      <c r="A25" s="3" t="s">
        <v>21</v>
      </c>
      <c r="B25">
        <v>193.42000000000002</v>
      </c>
      <c r="C25">
        <v>204.23000000000002</v>
      </c>
      <c r="D25">
        <v>397.65000000000003</v>
      </c>
    </row>
    <row r="26" spans="1:4" x14ac:dyDescent="0.2">
      <c r="A26" s="2" t="s">
        <v>7</v>
      </c>
      <c r="B26">
        <v>132.88999999999999</v>
      </c>
      <c r="C26">
        <v>127.75000000000001</v>
      </c>
      <c r="D26">
        <v>260.64</v>
      </c>
    </row>
    <row r="27" spans="1:4" x14ac:dyDescent="0.2">
      <c r="A27" s="3" t="s">
        <v>18</v>
      </c>
      <c r="B27">
        <v>2.44</v>
      </c>
      <c r="C27">
        <v>2.23</v>
      </c>
      <c r="D27">
        <v>4.67</v>
      </c>
    </row>
    <row r="28" spans="1:4" x14ac:dyDescent="0.2">
      <c r="A28" s="3" t="s">
        <v>21</v>
      </c>
      <c r="B28">
        <v>130.44999999999999</v>
      </c>
      <c r="C28">
        <v>125.52000000000001</v>
      </c>
      <c r="D28">
        <v>255.97</v>
      </c>
    </row>
    <row r="29" spans="1:4" x14ac:dyDescent="0.2">
      <c r="A29" s="2" t="s">
        <v>6</v>
      </c>
      <c r="B29">
        <v>581.9</v>
      </c>
      <c r="C29">
        <v>590.88</v>
      </c>
      <c r="D29">
        <v>1172.78</v>
      </c>
    </row>
    <row r="30" spans="1:4" x14ac:dyDescent="0.2">
      <c r="A30" s="3" t="s">
        <v>18</v>
      </c>
      <c r="B30">
        <v>1.8599999999999999</v>
      </c>
      <c r="C30">
        <v>1.3599999999999999</v>
      </c>
      <c r="D30">
        <v>3.2199999999999998</v>
      </c>
    </row>
    <row r="31" spans="1:4" x14ac:dyDescent="0.2">
      <c r="A31" s="3" t="s">
        <v>21</v>
      </c>
      <c r="B31">
        <v>580.04</v>
      </c>
      <c r="C31">
        <v>589.52</v>
      </c>
      <c r="D31">
        <v>1169.56</v>
      </c>
    </row>
    <row r="32" spans="1:4" x14ac:dyDescent="0.2">
      <c r="A32" s="2" t="s">
        <v>22</v>
      </c>
      <c r="B32">
        <v>305.77000000000004</v>
      </c>
      <c r="C32">
        <v>251.20999999999998</v>
      </c>
      <c r="D32">
        <v>556.9799999999999</v>
      </c>
    </row>
    <row r="33" spans="1:4" x14ac:dyDescent="0.2">
      <c r="A33" s="3" t="s">
        <v>18</v>
      </c>
      <c r="B33">
        <v>3.0999999999999996</v>
      </c>
      <c r="C33">
        <v>1.8200000000000003</v>
      </c>
      <c r="D33">
        <v>4.92</v>
      </c>
    </row>
    <row r="34" spans="1:4" x14ac:dyDescent="0.2">
      <c r="A34" s="3" t="s">
        <v>21</v>
      </c>
      <c r="B34">
        <v>302.67</v>
      </c>
      <c r="C34">
        <v>249.39</v>
      </c>
      <c r="D34">
        <v>552.05999999999995</v>
      </c>
    </row>
    <row r="35" spans="1:4" x14ac:dyDescent="0.2">
      <c r="A35" s="2" t="s">
        <v>23</v>
      </c>
      <c r="B35">
        <v>206.93</v>
      </c>
      <c r="C35">
        <v>159.81</v>
      </c>
      <c r="D35">
        <v>366.74</v>
      </c>
    </row>
    <row r="36" spans="1:4" x14ac:dyDescent="0.2">
      <c r="A36" s="3" t="s">
        <v>18</v>
      </c>
      <c r="B36">
        <v>3.0500000000000003</v>
      </c>
      <c r="C36">
        <v>1.8100000000000003</v>
      </c>
      <c r="D36">
        <v>4.8600000000000003</v>
      </c>
    </row>
    <row r="37" spans="1:4" x14ac:dyDescent="0.2">
      <c r="A37" s="3" t="s">
        <v>21</v>
      </c>
      <c r="B37">
        <v>203.88</v>
      </c>
      <c r="C37">
        <v>158</v>
      </c>
      <c r="D37">
        <v>361.88</v>
      </c>
    </row>
    <row r="38" spans="1:4" x14ac:dyDescent="0.2">
      <c r="A38" s="2" t="s">
        <v>24</v>
      </c>
      <c r="B38">
        <v>93.90000000000002</v>
      </c>
      <c r="C38">
        <v>104.44</v>
      </c>
      <c r="D38">
        <v>198.34000000000003</v>
      </c>
    </row>
    <row r="39" spans="1:4" x14ac:dyDescent="0.2">
      <c r="A39" s="3" t="s">
        <v>18</v>
      </c>
      <c r="B39">
        <v>19.510000000000002</v>
      </c>
      <c r="C39">
        <v>28.16</v>
      </c>
      <c r="D39">
        <v>47.67</v>
      </c>
    </row>
    <row r="40" spans="1:4" x14ac:dyDescent="0.2">
      <c r="A40" s="3" t="s">
        <v>21</v>
      </c>
      <c r="B40">
        <v>74.390000000000015</v>
      </c>
      <c r="C40">
        <v>76.28</v>
      </c>
      <c r="D40">
        <v>150.67000000000002</v>
      </c>
    </row>
    <row r="41" spans="1:4" x14ac:dyDescent="0.2">
      <c r="A41" s="2" t="s">
        <v>25</v>
      </c>
      <c r="B41">
        <v>117.09999999999998</v>
      </c>
      <c r="C41">
        <v>117.60000000000001</v>
      </c>
      <c r="D41">
        <v>234.7</v>
      </c>
    </row>
    <row r="42" spans="1:4" x14ac:dyDescent="0.2">
      <c r="A42" s="3" t="s">
        <v>18</v>
      </c>
      <c r="B42">
        <v>23.74</v>
      </c>
      <c r="C42">
        <v>19.39</v>
      </c>
      <c r="D42">
        <v>43.129999999999995</v>
      </c>
    </row>
    <row r="43" spans="1:4" x14ac:dyDescent="0.2">
      <c r="A43" s="3" t="s">
        <v>21</v>
      </c>
      <c r="B43">
        <v>93.359999999999985</v>
      </c>
      <c r="C43">
        <v>98.210000000000008</v>
      </c>
      <c r="D43">
        <v>191.57</v>
      </c>
    </row>
    <row r="44" spans="1:4" x14ac:dyDescent="0.2">
      <c r="A44" s="2" t="s">
        <v>26</v>
      </c>
      <c r="B44">
        <v>61.010000000000005</v>
      </c>
      <c r="C44">
        <v>54.42</v>
      </c>
      <c r="D44">
        <v>115.43</v>
      </c>
    </row>
    <row r="45" spans="1:4" x14ac:dyDescent="0.2">
      <c r="A45" s="3" t="s">
        <v>18</v>
      </c>
      <c r="B45">
        <v>1.1099999999999999</v>
      </c>
      <c r="C45">
        <v>0.82000000000000006</v>
      </c>
      <c r="D45">
        <v>1.93</v>
      </c>
    </row>
    <row r="46" spans="1:4" x14ac:dyDescent="0.2">
      <c r="A46" s="3" t="s">
        <v>21</v>
      </c>
      <c r="B46">
        <v>59.900000000000006</v>
      </c>
      <c r="C46">
        <v>53.6</v>
      </c>
      <c r="D46">
        <v>113.5</v>
      </c>
    </row>
    <row r="47" spans="1:4" x14ac:dyDescent="0.2">
      <c r="A47" s="2" t="s">
        <v>27</v>
      </c>
      <c r="B47">
        <v>58.910000000000004</v>
      </c>
      <c r="C47">
        <v>51.68</v>
      </c>
      <c r="D47">
        <v>110.58999999999999</v>
      </c>
    </row>
    <row r="48" spans="1:4" x14ac:dyDescent="0.2">
      <c r="A48" s="3" t="s">
        <v>18</v>
      </c>
      <c r="B48">
        <v>1.1399999999999999</v>
      </c>
      <c r="C48">
        <v>0.82000000000000006</v>
      </c>
      <c r="D48">
        <v>1.96</v>
      </c>
    </row>
    <row r="49" spans="1:4" x14ac:dyDescent="0.2">
      <c r="A49" s="3" t="s">
        <v>21</v>
      </c>
      <c r="B49">
        <v>57.77</v>
      </c>
      <c r="C49">
        <v>50.86</v>
      </c>
      <c r="D49">
        <v>108.63</v>
      </c>
    </row>
    <row r="50" spans="1:4" x14ac:dyDescent="0.2">
      <c r="A50" s="2" t="s">
        <v>28</v>
      </c>
      <c r="B50">
        <v>112.22000000000001</v>
      </c>
      <c r="C50">
        <v>101.25</v>
      </c>
      <c r="D50">
        <v>213.47</v>
      </c>
    </row>
    <row r="51" spans="1:4" x14ac:dyDescent="0.2">
      <c r="A51" s="3" t="s">
        <v>18</v>
      </c>
      <c r="B51">
        <v>0.66999999999999993</v>
      </c>
      <c r="C51">
        <v>0.55999999999999994</v>
      </c>
      <c r="D51">
        <v>1.23</v>
      </c>
    </row>
    <row r="52" spans="1:4" x14ac:dyDescent="0.2">
      <c r="A52" s="3" t="s">
        <v>21</v>
      </c>
      <c r="B52">
        <v>111.55000000000001</v>
      </c>
      <c r="C52">
        <v>100.69</v>
      </c>
      <c r="D52">
        <v>212.24</v>
      </c>
    </row>
    <row r="53" spans="1:4" x14ac:dyDescent="0.2">
      <c r="A53" s="2" t="s">
        <v>29</v>
      </c>
      <c r="B53">
        <v>108.7</v>
      </c>
      <c r="C53">
        <v>103.19999999999997</v>
      </c>
      <c r="D53">
        <v>211.89999999999998</v>
      </c>
    </row>
    <row r="54" spans="1:4" x14ac:dyDescent="0.2">
      <c r="A54" s="3" t="s">
        <v>18</v>
      </c>
      <c r="B54">
        <v>0.71</v>
      </c>
      <c r="C54">
        <v>0.6</v>
      </c>
      <c r="D54">
        <v>1.31</v>
      </c>
    </row>
    <row r="55" spans="1:4" x14ac:dyDescent="0.2">
      <c r="A55" s="3" t="s">
        <v>21</v>
      </c>
      <c r="B55">
        <v>107.99000000000001</v>
      </c>
      <c r="C55">
        <v>102.59999999999998</v>
      </c>
      <c r="D55">
        <v>210.58999999999997</v>
      </c>
    </row>
    <row r="56" spans="1:4" x14ac:dyDescent="0.2">
      <c r="A56" s="2" t="s">
        <v>30</v>
      </c>
      <c r="B56">
        <v>166.31</v>
      </c>
      <c r="C56">
        <v>173.83</v>
      </c>
      <c r="D56">
        <v>340.14000000000004</v>
      </c>
    </row>
    <row r="57" spans="1:4" x14ac:dyDescent="0.2">
      <c r="A57" s="3" t="s">
        <v>18</v>
      </c>
      <c r="B57">
        <v>2.2500000000000004</v>
      </c>
      <c r="C57">
        <v>2.1900000000000004</v>
      </c>
      <c r="D57">
        <v>4.4400000000000013</v>
      </c>
    </row>
    <row r="58" spans="1:4" x14ac:dyDescent="0.2">
      <c r="A58" s="3" t="s">
        <v>21</v>
      </c>
      <c r="B58">
        <v>164.06</v>
      </c>
      <c r="C58">
        <v>171.64000000000001</v>
      </c>
      <c r="D58">
        <v>335.70000000000005</v>
      </c>
    </row>
    <row r="59" spans="1:4" x14ac:dyDescent="0.2">
      <c r="A59" s="2" t="s">
        <v>31</v>
      </c>
      <c r="B59">
        <v>250.15000000000003</v>
      </c>
      <c r="C59">
        <v>256.98</v>
      </c>
      <c r="D59">
        <v>507.13000000000005</v>
      </c>
    </row>
    <row r="60" spans="1:4" x14ac:dyDescent="0.2">
      <c r="A60" s="3" t="s">
        <v>18</v>
      </c>
      <c r="B60">
        <v>2.2500000000000004</v>
      </c>
      <c r="C60">
        <v>2.2400000000000002</v>
      </c>
      <c r="D60">
        <v>4.49</v>
      </c>
    </row>
    <row r="61" spans="1:4" x14ac:dyDescent="0.2">
      <c r="A61" s="3" t="s">
        <v>21</v>
      </c>
      <c r="B61">
        <v>247.90000000000003</v>
      </c>
      <c r="C61">
        <v>254.74</v>
      </c>
      <c r="D61">
        <v>502.64000000000004</v>
      </c>
    </row>
    <row r="62" spans="1:4" x14ac:dyDescent="0.2">
      <c r="A62" s="2" t="s">
        <v>15</v>
      </c>
      <c r="B62">
        <v>3694.0600000000004</v>
      </c>
      <c r="C62">
        <v>3152.4599999999991</v>
      </c>
      <c r="D62">
        <v>6846.5199999999995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9429-41A3-F94D-8A8C-49B378583742}">
  <dimension ref="A1:E21"/>
  <sheetViews>
    <sheetView zoomScaleNormal="143" workbookViewId="0">
      <selection activeCell="D14" sqref="D14:D20"/>
    </sheetView>
  </sheetViews>
  <sheetFormatPr baseColWidth="10" defaultRowHeight="16" x14ac:dyDescent="0.2"/>
  <cols>
    <col min="1" max="1" width="11" customWidth="1"/>
    <col min="2" max="2" width="12" customWidth="1"/>
    <col min="3" max="4" width="11" customWidth="1"/>
  </cols>
  <sheetData>
    <row r="1" spans="1:5" x14ac:dyDescent="0.2">
      <c r="A1" t="s">
        <v>9</v>
      </c>
      <c r="B1" t="s">
        <v>33</v>
      </c>
      <c r="C1" t="s">
        <v>34</v>
      </c>
      <c r="D1" t="s">
        <v>37</v>
      </c>
      <c r="E1" t="s">
        <v>36</v>
      </c>
    </row>
    <row r="2" spans="1:5" x14ac:dyDescent="0.2">
      <c r="A2" t="s">
        <v>0</v>
      </c>
      <c r="B2" s="6">
        <v>578.08000000000004</v>
      </c>
      <c r="C2" s="6">
        <v>400.93</v>
      </c>
      <c r="D2" s="6">
        <f>Table1[[#This Row],[New]]-Table1[[#This Row],[Old]]</f>
        <v>-177.15000000000003</v>
      </c>
      <c r="E2" s="4">
        <f>Table1[[#This Row],[New]]/Table1[[#This Row],[Old]]</f>
        <v>0.69355452532521444</v>
      </c>
    </row>
    <row r="3" spans="1:5" x14ac:dyDescent="0.2">
      <c r="A3" t="s">
        <v>1</v>
      </c>
      <c r="B3" s="6">
        <v>436.60999999999996</v>
      </c>
      <c r="C3" s="6">
        <v>325.94</v>
      </c>
      <c r="D3" s="6">
        <f>Table1[[#This Row],[New]]-Table1[[#This Row],[Old]]</f>
        <v>-110.66999999999996</v>
      </c>
      <c r="E3" s="4">
        <f>Table1[[#This Row],[New]]/Table1[[#This Row],[Old]]</f>
        <v>0.74652435812280993</v>
      </c>
    </row>
    <row r="4" spans="1:5" x14ac:dyDescent="0.2">
      <c r="A4" t="s">
        <v>22</v>
      </c>
      <c r="B4" s="6">
        <v>302.67</v>
      </c>
      <c r="C4" s="6">
        <v>249.39</v>
      </c>
      <c r="D4" s="6">
        <f>Table1[[#This Row],[New]]-Table1[[#This Row],[Old]]</f>
        <v>-53.28000000000003</v>
      </c>
      <c r="E4" s="4">
        <f>Table1[[#This Row],[New]]/Table1[[#This Row],[Old]]</f>
        <v>0.82396669640202191</v>
      </c>
    </row>
    <row r="5" spans="1:5" x14ac:dyDescent="0.2">
      <c r="A5" t="s">
        <v>23</v>
      </c>
      <c r="B5" s="6">
        <v>203.88</v>
      </c>
      <c r="C5" s="6">
        <v>158</v>
      </c>
      <c r="D5" s="6">
        <f>Table1[[#This Row],[New]]-Table1[[#This Row],[Old]]</f>
        <v>-45.879999999999995</v>
      </c>
      <c r="E5" s="4">
        <f>Table1[[#This Row],[New]]/Table1[[#This Row],[Old]]</f>
        <v>0.77496566607808515</v>
      </c>
    </row>
    <row r="6" spans="1:5" x14ac:dyDescent="0.2">
      <c r="A6" t="s">
        <v>28</v>
      </c>
      <c r="B6" s="6">
        <v>111.55000000000001</v>
      </c>
      <c r="C6" s="6">
        <v>100.69</v>
      </c>
      <c r="D6" s="6">
        <f>Table1[[#This Row],[New]]-Table1[[#This Row],[Old]]</f>
        <v>-10.860000000000014</v>
      </c>
      <c r="E6" s="4">
        <f>Table1[[#This Row],[New]]/Table1[[#This Row],[Old]]</f>
        <v>0.90264455401165389</v>
      </c>
    </row>
    <row r="7" spans="1:5" x14ac:dyDescent="0.2">
      <c r="A7" t="s">
        <v>27</v>
      </c>
      <c r="B7" s="6">
        <v>57.77</v>
      </c>
      <c r="C7" s="6">
        <v>50.86</v>
      </c>
      <c r="D7" s="6">
        <f>Table1[[#This Row],[New]]-Table1[[#This Row],[Old]]</f>
        <v>-6.9100000000000037</v>
      </c>
      <c r="E7" s="4">
        <f>Table1[[#This Row],[New]]/Table1[[#This Row],[Old]]</f>
        <v>0.88038774450406776</v>
      </c>
    </row>
    <row r="8" spans="1:5" x14ac:dyDescent="0.2">
      <c r="A8" t="s">
        <v>26</v>
      </c>
      <c r="B8" s="6">
        <v>59.900000000000006</v>
      </c>
      <c r="C8" s="6">
        <v>53.6</v>
      </c>
      <c r="D8" s="6">
        <f>Table1[[#This Row],[New]]-Table1[[#This Row],[Old]]</f>
        <v>-6.3000000000000043</v>
      </c>
      <c r="E8" s="4">
        <f>Table1[[#This Row],[New]]/Table1[[#This Row],[Old]]</f>
        <v>0.89482470784641066</v>
      </c>
    </row>
    <row r="9" spans="1:5" x14ac:dyDescent="0.2">
      <c r="A9" t="s">
        <v>29</v>
      </c>
      <c r="B9" s="6">
        <v>107.99000000000001</v>
      </c>
      <c r="C9" s="6">
        <v>102.59999999999998</v>
      </c>
      <c r="D9" s="6">
        <f>Table1[[#This Row],[New]]-Table1[[#This Row],[Old]]</f>
        <v>-5.390000000000029</v>
      </c>
      <c r="E9" s="4">
        <f>Table1[[#This Row],[New]]/Table1[[#This Row],[Old]]</f>
        <v>0.95008797110843568</v>
      </c>
    </row>
    <row r="10" spans="1:5" x14ac:dyDescent="0.2">
      <c r="A10" t="s">
        <v>7</v>
      </c>
      <c r="B10" s="6">
        <v>130.44999999999999</v>
      </c>
      <c r="C10" s="6">
        <v>125.52000000000001</v>
      </c>
      <c r="D10" s="6">
        <f>Table1[[#This Row],[New]]-Table1[[#This Row],[Old]]</f>
        <v>-4.9299999999999784</v>
      </c>
      <c r="E10" s="4">
        <f>Table1[[#This Row],[New]]/Table1[[#This Row],[Old]]</f>
        <v>0.96220774243005003</v>
      </c>
    </row>
    <row r="11" spans="1:5" x14ac:dyDescent="0.2">
      <c r="A11" t="s">
        <v>2</v>
      </c>
      <c r="B11" s="6">
        <v>15.819999999999999</v>
      </c>
      <c r="C11" s="6">
        <v>12.81</v>
      </c>
      <c r="D11" s="6">
        <f>Table1[[#This Row],[New]]-Table1[[#This Row],[Old]]</f>
        <v>-3.009999999999998</v>
      </c>
      <c r="E11" s="4">
        <f>Table1[[#This Row],[New]]/Table1[[#This Row],[Old]]</f>
        <v>0.80973451327433643</v>
      </c>
    </row>
    <row r="12" spans="1:5" x14ac:dyDescent="0.2">
      <c r="A12" t="s">
        <v>3</v>
      </c>
      <c r="B12" s="6">
        <v>15.44</v>
      </c>
      <c r="C12" s="6">
        <v>13.030000000000003</v>
      </c>
      <c r="D12" s="6">
        <f>Table1[[#This Row],[New]]-Table1[[#This Row],[Old]]</f>
        <v>-2.4099999999999966</v>
      </c>
      <c r="E12" s="4">
        <f>Table1[[#This Row],[New]]/Table1[[#This Row],[Old]]</f>
        <v>0.84391191709844582</v>
      </c>
    </row>
    <row r="13" spans="1:5" x14ac:dyDescent="0.2">
      <c r="A13" t="s">
        <v>4</v>
      </c>
      <c r="B13" s="6">
        <v>15.36</v>
      </c>
      <c r="C13" s="6">
        <v>15.29</v>
      </c>
      <c r="D13" s="6">
        <f>Table1[[#This Row],[New]]-Table1[[#This Row],[Old]]</f>
        <v>-7.0000000000000284E-2</v>
      </c>
      <c r="E13" s="4">
        <f>Table1[[#This Row],[New]]/Table1[[#This Row],[Old]]</f>
        <v>0.99544270833333326</v>
      </c>
    </row>
    <row r="14" spans="1:5" x14ac:dyDescent="0.2">
      <c r="A14" t="s">
        <v>5</v>
      </c>
      <c r="B14" s="6">
        <v>9.26</v>
      </c>
      <c r="C14" s="6">
        <v>9.26</v>
      </c>
      <c r="D14" s="6">
        <f>Table1[[#This Row],[New]]-Table1[[#This Row],[Old]]</f>
        <v>0</v>
      </c>
      <c r="E14" s="4">
        <f>Table1[[#This Row],[New]]/Table1[[#This Row],[Old]]</f>
        <v>1</v>
      </c>
    </row>
    <row r="15" spans="1:5" x14ac:dyDescent="0.2">
      <c r="A15" t="s">
        <v>24</v>
      </c>
      <c r="B15" s="6">
        <v>74.390000000000015</v>
      </c>
      <c r="C15" s="6">
        <v>76.28</v>
      </c>
      <c r="D15" s="6">
        <f>Table1[[#This Row],[New]]-Table1[[#This Row],[Old]]</f>
        <v>1.8899999999999864</v>
      </c>
      <c r="E15" s="4">
        <f>Table1[[#This Row],[New]]/Table1[[#This Row],[Old]]</f>
        <v>1.0254066406775102</v>
      </c>
    </row>
    <row r="16" spans="1:5" x14ac:dyDescent="0.2">
      <c r="A16" t="s">
        <v>25</v>
      </c>
      <c r="B16" s="6">
        <v>93.359999999999985</v>
      </c>
      <c r="C16" s="6">
        <v>98.210000000000008</v>
      </c>
      <c r="D16" s="6">
        <f>Table1[[#This Row],[New]]-Table1[[#This Row],[Old]]</f>
        <v>4.8500000000000227</v>
      </c>
      <c r="E16" s="4">
        <f>Table1[[#This Row],[New]]/Table1[[#This Row],[Old]]</f>
        <v>1.0519494430162812</v>
      </c>
    </row>
    <row r="17" spans="1:5" x14ac:dyDescent="0.2">
      <c r="A17" t="s">
        <v>31</v>
      </c>
      <c r="B17" s="6">
        <v>247.90000000000003</v>
      </c>
      <c r="C17" s="6">
        <v>254.74</v>
      </c>
      <c r="D17" s="6">
        <f>Table1[[#This Row],[New]]-Table1[[#This Row],[Old]]</f>
        <v>6.839999999999975</v>
      </c>
      <c r="E17" s="4">
        <f>Table1[[#This Row],[New]]/Table1[[#This Row],[Old]]</f>
        <v>1.0275917708753528</v>
      </c>
    </row>
    <row r="18" spans="1:5" x14ac:dyDescent="0.2">
      <c r="A18" t="s">
        <v>30</v>
      </c>
      <c r="B18" s="6">
        <v>164.06</v>
      </c>
      <c r="C18" s="6">
        <v>171.64000000000001</v>
      </c>
      <c r="D18" s="6">
        <f>Table1[[#This Row],[New]]-Table1[[#This Row],[Old]]</f>
        <v>7.5800000000000125</v>
      </c>
      <c r="E18" s="4">
        <f>Table1[[#This Row],[New]]/Table1[[#This Row],[Old]]</f>
        <v>1.0462026088016581</v>
      </c>
    </row>
    <row r="19" spans="1:5" x14ac:dyDescent="0.2">
      <c r="A19" t="s">
        <v>6</v>
      </c>
      <c r="B19" s="6">
        <v>580.04</v>
      </c>
      <c r="C19" s="6">
        <v>589.52</v>
      </c>
      <c r="D19" s="6">
        <f>Table1[[#This Row],[New]]-Table1[[#This Row],[Old]]</f>
        <v>9.4800000000000182</v>
      </c>
      <c r="E19" s="4">
        <f>Table1[[#This Row],[New]]/Table1[[#This Row],[Old]]</f>
        <v>1.0163437004344529</v>
      </c>
    </row>
    <row r="20" spans="1:5" x14ac:dyDescent="0.2">
      <c r="A20" t="s">
        <v>8</v>
      </c>
      <c r="B20" s="6">
        <v>193.42000000000002</v>
      </c>
      <c r="C20" s="6">
        <v>204.23000000000002</v>
      </c>
      <c r="D20" s="6">
        <f>Table1[[#This Row],[New]]-Table1[[#This Row],[Old]]</f>
        <v>10.810000000000002</v>
      </c>
      <c r="E20" s="4">
        <f>Table1[[#This Row],[New]]/Table1[[#This Row],[Old]]</f>
        <v>1.0558887395305552</v>
      </c>
    </row>
    <row r="21" spans="1:5" x14ac:dyDescent="0.2">
      <c r="A21" t="s">
        <v>35</v>
      </c>
      <c r="E21" s="5">
        <f>SUBTOTAL(1,Table1[Speedup Relative])</f>
        <v>0.92113873725635143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F1C4-E3E3-A241-AC9A-75141D9028DC}">
  <dimension ref="A1:E21"/>
  <sheetViews>
    <sheetView tabSelected="1" zoomScale="117" zoomScaleNormal="100" workbookViewId="0">
      <selection activeCell="E30" sqref="E30"/>
    </sheetView>
  </sheetViews>
  <sheetFormatPr baseColWidth="10" defaultRowHeight="16" x14ac:dyDescent="0.2"/>
  <cols>
    <col min="1" max="1" width="51.33203125" bestFit="1" customWidth="1"/>
    <col min="5" max="5" width="18.1640625" customWidth="1"/>
    <col min="6" max="6" width="17.5" customWidth="1"/>
  </cols>
  <sheetData>
    <row r="1" spans="1:5" x14ac:dyDescent="0.2">
      <c r="A1" t="s">
        <v>9</v>
      </c>
      <c r="B1" t="s">
        <v>33</v>
      </c>
      <c r="C1" t="s">
        <v>34</v>
      </c>
      <c r="D1" t="s">
        <v>37</v>
      </c>
      <c r="E1" t="s">
        <v>36</v>
      </c>
    </row>
    <row r="2" spans="1:5" x14ac:dyDescent="0.2">
      <c r="A2" t="s">
        <v>0</v>
      </c>
      <c r="B2" s="6">
        <v>113.86</v>
      </c>
      <c r="C2" s="6">
        <v>36.32</v>
      </c>
      <c r="D2" s="6">
        <f>Table2[[#This Row],[New]]-Table2[[#This Row],[Old]]</f>
        <v>-77.539999999999992</v>
      </c>
      <c r="E2" s="4">
        <f>Table2[[#This Row],[New]]/Table2[[#This Row],[Old]]</f>
        <v>0.318988231161075</v>
      </c>
    </row>
    <row r="3" spans="1:5" x14ac:dyDescent="0.2">
      <c r="A3" t="s">
        <v>1</v>
      </c>
      <c r="B3" s="6">
        <v>113.31</v>
      </c>
      <c r="C3" s="6">
        <v>36.089999999999996</v>
      </c>
      <c r="D3" s="6">
        <f>Table2[[#This Row],[New]]-Table2[[#This Row],[Old]]</f>
        <v>-77.22</v>
      </c>
      <c r="E3" s="4">
        <f>Table2[[#This Row],[New]]/Table2[[#This Row],[Old]]</f>
        <v>0.31850675138999202</v>
      </c>
    </row>
    <row r="4" spans="1:5" x14ac:dyDescent="0.2">
      <c r="A4" t="s">
        <v>25</v>
      </c>
      <c r="B4" s="6">
        <v>23.74</v>
      </c>
      <c r="C4" s="6">
        <v>19.39</v>
      </c>
      <c r="D4" s="6">
        <f>Table2[[#This Row],[New]]-Table2[[#This Row],[Old]]</f>
        <v>-4.3499999999999979</v>
      </c>
      <c r="E4" s="4">
        <f>Table2[[#This Row],[New]]/Table2[[#This Row],[Old]]</f>
        <v>0.81676495366470103</v>
      </c>
    </row>
    <row r="5" spans="1:5" x14ac:dyDescent="0.2">
      <c r="A5" t="s">
        <v>22</v>
      </c>
      <c r="B5" s="6">
        <v>3.0999999999999996</v>
      </c>
      <c r="C5" s="6">
        <v>1.8200000000000003</v>
      </c>
      <c r="D5" s="6">
        <f>Table2[[#This Row],[New]]-Table2[[#This Row],[Old]]</f>
        <v>-1.2799999999999994</v>
      </c>
      <c r="E5" s="4">
        <f>Table2[[#This Row],[New]]/Table2[[#This Row],[Old]]</f>
        <v>0.58709677419354855</v>
      </c>
    </row>
    <row r="6" spans="1:5" x14ac:dyDescent="0.2">
      <c r="A6" t="s">
        <v>23</v>
      </c>
      <c r="B6" s="6">
        <v>3.0500000000000003</v>
      </c>
      <c r="C6" s="6">
        <v>1.8100000000000003</v>
      </c>
      <c r="D6" s="6">
        <f>Table2[[#This Row],[New]]-Table2[[#This Row],[Old]]</f>
        <v>-1.24</v>
      </c>
      <c r="E6" s="4">
        <f>Table2[[#This Row],[New]]/Table2[[#This Row],[Old]]</f>
        <v>0.59344262295081973</v>
      </c>
    </row>
    <row r="7" spans="1:5" x14ac:dyDescent="0.2">
      <c r="A7" t="s">
        <v>3</v>
      </c>
      <c r="B7" s="6">
        <v>1.98</v>
      </c>
      <c r="C7" s="6">
        <v>1.27</v>
      </c>
      <c r="D7" s="6">
        <f>Table2[[#This Row],[New]]-Table2[[#This Row],[Old]]</f>
        <v>-0.71</v>
      </c>
      <c r="E7" s="4">
        <f>Table2[[#This Row],[New]]/Table2[[#This Row],[Old]]</f>
        <v>0.64141414141414144</v>
      </c>
    </row>
    <row r="8" spans="1:5" x14ac:dyDescent="0.2">
      <c r="A8" t="s">
        <v>2</v>
      </c>
      <c r="B8" s="6">
        <v>1.9600000000000002</v>
      </c>
      <c r="C8" s="6">
        <v>1.29</v>
      </c>
      <c r="D8" s="6">
        <f>Table2[[#This Row],[New]]-Table2[[#This Row],[Old]]</f>
        <v>-0.67000000000000015</v>
      </c>
      <c r="E8" s="4">
        <f>Table2[[#This Row],[New]]/Table2[[#This Row],[Old]]</f>
        <v>0.65816326530612246</v>
      </c>
    </row>
    <row r="9" spans="1:5" x14ac:dyDescent="0.2">
      <c r="A9" t="s">
        <v>6</v>
      </c>
      <c r="B9" s="6">
        <v>1.8599999999999999</v>
      </c>
      <c r="C9" s="6">
        <v>1.3599999999999999</v>
      </c>
      <c r="D9" s="6">
        <f>Table2[[#This Row],[New]]-Table2[[#This Row],[Old]]</f>
        <v>-0.5</v>
      </c>
      <c r="E9" s="4">
        <f>Table2[[#This Row],[New]]/Table2[[#This Row],[Old]]</f>
        <v>0.73118279569892475</v>
      </c>
    </row>
    <row r="10" spans="1:5" x14ac:dyDescent="0.2">
      <c r="A10" t="s">
        <v>27</v>
      </c>
      <c r="B10" s="6">
        <v>1.1399999999999999</v>
      </c>
      <c r="C10" s="6">
        <v>0.82000000000000006</v>
      </c>
      <c r="D10" s="6">
        <f>Table2[[#This Row],[New]]-Table2[[#This Row],[Old]]</f>
        <v>-0.31999999999999984</v>
      </c>
      <c r="E10" s="4">
        <f>Table2[[#This Row],[New]]/Table2[[#This Row],[Old]]</f>
        <v>0.71929824561403521</v>
      </c>
    </row>
    <row r="11" spans="1:5" x14ac:dyDescent="0.2">
      <c r="A11" t="s">
        <v>26</v>
      </c>
      <c r="B11" s="6">
        <v>1.1099999999999999</v>
      </c>
      <c r="C11" s="6">
        <v>0.82000000000000006</v>
      </c>
      <c r="D11" s="6">
        <f>Table2[[#This Row],[New]]-Table2[[#This Row],[Old]]</f>
        <v>-0.28999999999999981</v>
      </c>
      <c r="E11" s="4">
        <f>Table2[[#This Row],[New]]/Table2[[#This Row],[Old]]</f>
        <v>0.73873873873873885</v>
      </c>
    </row>
    <row r="12" spans="1:5" x14ac:dyDescent="0.2">
      <c r="A12" t="s">
        <v>7</v>
      </c>
      <c r="B12" s="6">
        <v>2.44</v>
      </c>
      <c r="C12" s="6">
        <v>2.23</v>
      </c>
      <c r="D12" s="6">
        <f>Table2[[#This Row],[New]]-Table2[[#This Row],[Old]]</f>
        <v>-0.20999999999999996</v>
      </c>
      <c r="E12" s="4">
        <f>Table2[[#This Row],[New]]/Table2[[#This Row],[Old]]</f>
        <v>0.91393442622950816</v>
      </c>
    </row>
    <row r="13" spans="1:5" x14ac:dyDescent="0.2">
      <c r="A13" t="s">
        <v>8</v>
      </c>
      <c r="B13" s="6">
        <v>1.9400000000000002</v>
      </c>
      <c r="C13" s="6">
        <v>1.7500000000000002</v>
      </c>
      <c r="D13" s="6">
        <f>Table2[[#This Row],[New]]-Table2[[#This Row],[Old]]</f>
        <v>-0.18999999999999995</v>
      </c>
      <c r="E13" s="4">
        <f>Table2[[#This Row],[New]]/Table2[[#This Row],[Old]]</f>
        <v>0.90206185567010311</v>
      </c>
    </row>
    <row r="14" spans="1:5" x14ac:dyDescent="0.2">
      <c r="A14" t="s">
        <v>28</v>
      </c>
      <c r="B14" s="6">
        <v>0.66999999999999993</v>
      </c>
      <c r="C14" s="6">
        <v>0.55999999999999994</v>
      </c>
      <c r="D14" s="6">
        <f>Table2[[#This Row],[New]]-Table2[[#This Row],[Old]]</f>
        <v>-0.10999999999999999</v>
      </c>
      <c r="E14" s="4">
        <f>Table2[[#This Row],[New]]/Table2[[#This Row],[Old]]</f>
        <v>0.83582089552238803</v>
      </c>
    </row>
    <row r="15" spans="1:5" x14ac:dyDescent="0.2">
      <c r="A15" t="s">
        <v>29</v>
      </c>
      <c r="B15" s="6">
        <v>0.71</v>
      </c>
      <c r="C15" s="6">
        <v>0.6</v>
      </c>
      <c r="D15" s="6">
        <f>Table2[[#This Row],[New]]-Table2[[#This Row],[Old]]</f>
        <v>-0.10999999999999999</v>
      </c>
      <c r="E15" s="4">
        <f>Table2[[#This Row],[New]]/Table2[[#This Row],[Old]]</f>
        <v>0.84507042253521125</v>
      </c>
    </row>
    <row r="16" spans="1:5" x14ac:dyDescent="0.2">
      <c r="A16" t="s">
        <v>30</v>
      </c>
      <c r="B16" s="6">
        <v>2.2500000000000004</v>
      </c>
      <c r="C16" s="6">
        <v>2.1900000000000004</v>
      </c>
      <c r="D16" s="6">
        <f>Table2[[#This Row],[New]]-Table2[[#This Row],[Old]]</f>
        <v>-6.0000000000000053E-2</v>
      </c>
      <c r="E16" s="4">
        <f>Table2[[#This Row],[New]]/Table2[[#This Row],[Old]]</f>
        <v>0.97333333333333327</v>
      </c>
    </row>
    <row r="17" spans="1:5" x14ac:dyDescent="0.2">
      <c r="A17" t="s">
        <v>5</v>
      </c>
      <c r="B17" s="6">
        <v>0.62</v>
      </c>
      <c r="C17" s="6">
        <v>0.6</v>
      </c>
      <c r="D17" s="6">
        <f>Table2[[#This Row],[New]]-Table2[[#This Row],[Old]]</f>
        <v>-2.0000000000000018E-2</v>
      </c>
      <c r="E17" s="4">
        <f>Table2[[#This Row],[New]]/Table2[[#This Row],[Old]]</f>
        <v>0.96774193548387089</v>
      </c>
    </row>
    <row r="18" spans="1:5" x14ac:dyDescent="0.2">
      <c r="A18" t="s">
        <v>31</v>
      </c>
      <c r="B18" s="6">
        <v>2.2500000000000004</v>
      </c>
      <c r="C18" s="6">
        <v>2.2400000000000002</v>
      </c>
      <c r="D18" s="6">
        <f>Table2[[#This Row],[New]]-Table2[[#This Row],[Old]]</f>
        <v>-1.0000000000000231E-2</v>
      </c>
      <c r="E18" s="4">
        <f>Table2[[#This Row],[New]]/Table2[[#This Row],[Old]]</f>
        <v>0.99555555555555542</v>
      </c>
    </row>
    <row r="19" spans="1:5" x14ac:dyDescent="0.2">
      <c r="A19" t="s">
        <v>4</v>
      </c>
      <c r="B19" s="6">
        <v>0.61</v>
      </c>
      <c r="C19" s="6">
        <v>0.6</v>
      </c>
      <c r="D19" s="6">
        <f>Table2[[#This Row],[New]]-Table2[[#This Row],[Old]]</f>
        <v>-1.0000000000000009E-2</v>
      </c>
      <c r="E19" s="4">
        <f>Table2[[#This Row],[New]]/Table2[[#This Row],[Old]]</f>
        <v>0.98360655737704916</v>
      </c>
    </row>
    <row r="20" spans="1:5" x14ac:dyDescent="0.2">
      <c r="A20" t="s">
        <v>24</v>
      </c>
      <c r="B20" s="6">
        <v>19.510000000000002</v>
      </c>
      <c r="C20" s="6">
        <v>28.16</v>
      </c>
      <c r="D20" s="6">
        <f>Table2[[#This Row],[New]]-Table2[[#This Row],[Old]]</f>
        <v>8.6499999999999986</v>
      </c>
      <c r="E20" s="4">
        <f>Table2[[#This Row],[New]]/Table2[[#This Row],[Old]]</f>
        <v>1.4433623782675551</v>
      </c>
    </row>
    <row r="21" spans="1:5" x14ac:dyDescent="0.2">
      <c r="A21" t="s">
        <v>35</v>
      </c>
      <c r="E21" s="4">
        <f>SUBTOTAL(1,Table2[Speedup Relative])</f>
        <v>0.78863599368982484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9035-5194-BE42-8FA0-2E5EBE918D4D}">
  <dimension ref="A1:F457"/>
  <sheetViews>
    <sheetView workbookViewId="0"/>
  </sheetViews>
  <sheetFormatPr baseColWidth="10" defaultRowHeight="16" x14ac:dyDescent="0.2"/>
  <cols>
    <col min="1" max="3" width="11" customWidth="1"/>
  </cols>
  <sheetData>
    <row r="1" spans="1:6" x14ac:dyDescent="0.2">
      <c r="A1" t="s">
        <v>12</v>
      </c>
      <c r="B1" t="s">
        <v>13</v>
      </c>
      <c r="C1" t="s">
        <v>9</v>
      </c>
      <c r="D1" t="s">
        <v>10</v>
      </c>
      <c r="E1" t="s">
        <v>11</v>
      </c>
      <c r="F1" t="s">
        <v>16</v>
      </c>
    </row>
    <row r="2" spans="1:6" x14ac:dyDescent="0.2">
      <c r="A2" t="s">
        <v>18</v>
      </c>
      <c r="B2" t="s">
        <v>19</v>
      </c>
      <c r="C2" t="s">
        <v>0</v>
      </c>
      <c r="D2">
        <v>11.49</v>
      </c>
      <c r="E2">
        <v>7.25</v>
      </c>
      <c r="F2">
        <f>Table3[[#This Row],[User]]+Table3[[#This Row],[Sys]]</f>
        <v>18.740000000000002</v>
      </c>
    </row>
    <row r="3" spans="1:6" x14ac:dyDescent="0.2">
      <c r="A3" t="s">
        <v>18</v>
      </c>
      <c r="B3" t="s">
        <v>19</v>
      </c>
      <c r="C3" t="s">
        <v>1</v>
      </c>
      <c r="D3">
        <v>11.43</v>
      </c>
      <c r="E3">
        <v>7.2</v>
      </c>
      <c r="F3">
        <f>Table3[[#This Row],[User]]+Table3[[#This Row],[Sys]]</f>
        <v>18.63</v>
      </c>
    </row>
    <row r="4" spans="1:6" x14ac:dyDescent="0.2">
      <c r="A4" t="s">
        <v>18</v>
      </c>
      <c r="B4" t="s">
        <v>19</v>
      </c>
      <c r="C4" t="s">
        <v>2</v>
      </c>
      <c r="D4">
        <v>0.21</v>
      </c>
      <c r="E4">
        <v>0.11</v>
      </c>
      <c r="F4">
        <f>Table3[[#This Row],[User]]+Table3[[#This Row],[Sys]]</f>
        <v>0.32</v>
      </c>
    </row>
    <row r="5" spans="1:6" x14ac:dyDescent="0.2">
      <c r="A5" t="s">
        <v>18</v>
      </c>
      <c r="B5" t="s">
        <v>19</v>
      </c>
      <c r="C5" t="s">
        <v>3</v>
      </c>
      <c r="D5">
        <v>0.21</v>
      </c>
      <c r="E5">
        <v>0.11</v>
      </c>
      <c r="F5">
        <f>Table3[[#This Row],[User]]+Table3[[#This Row],[Sys]]</f>
        <v>0.32</v>
      </c>
    </row>
    <row r="6" spans="1:6" x14ac:dyDescent="0.2">
      <c r="A6" t="s">
        <v>18</v>
      </c>
      <c r="B6" t="s">
        <v>19</v>
      </c>
      <c r="C6" t="s">
        <v>4</v>
      </c>
      <c r="D6">
        <v>7.0000000000000007E-2</v>
      </c>
      <c r="E6">
        <v>0.03</v>
      </c>
      <c r="F6">
        <f>Table3[[#This Row],[User]]+Table3[[#This Row],[Sys]]</f>
        <v>0.1</v>
      </c>
    </row>
    <row r="7" spans="1:6" x14ac:dyDescent="0.2">
      <c r="A7" t="s">
        <v>18</v>
      </c>
      <c r="B7" t="s">
        <v>19</v>
      </c>
      <c r="C7" t="s">
        <v>5</v>
      </c>
      <c r="D7">
        <v>7.0000000000000007E-2</v>
      </c>
      <c r="E7">
        <v>0.03</v>
      </c>
      <c r="F7">
        <f>Table3[[#This Row],[User]]+Table3[[#This Row],[Sys]]</f>
        <v>0.1</v>
      </c>
    </row>
    <row r="8" spans="1:6" x14ac:dyDescent="0.2">
      <c r="A8" t="s">
        <v>18</v>
      </c>
      <c r="B8" t="s">
        <v>19</v>
      </c>
      <c r="C8" t="s">
        <v>6</v>
      </c>
      <c r="D8">
        <v>0.24</v>
      </c>
      <c r="E8">
        <v>0.08</v>
      </c>
      <c r="F8">
        <f>Table3[[#This Row],[User]]+Table3[[#This Row],[Sys]]</f>
        <v>0.32</v>
      </c>
    </row>
    <row r="9" spans="1:6" x14ac:dyDescent="0.2">
      <c r="A9" t="s">
        <v>18</v>
      </c>
      <c r="B9" t="s">
        <v>19</v>
      </c>
      <c r="C9" t="s">
        <v>7</v>
      </c>
      <c r="D9">
        <v>0.28999999999999998</v>
      </c>
      <c r="E9">
        <v>0.11</v>
      </c>
      <c r="F9">
        <f>Table3[[#This Row],[User]]+Table3[[#This Row],[Sys]]</f>
        <v>0.39999999999999997</v>
      </c>
    </row>
    <row r="10" spans="1:6" x14ac:dyDescent="0.2">
      <c r="A10" t="s">
        <v>18</v>
      </c>
      <c r="B10" t="s">
        <v>19</v>
      </c>
      <c r="C10" t="s">
        <v>8</v>
      </c>
      <c r="D10">
        <v>0.22</v>
      </c>
      <c r="E10">
        <v>0.1</v>
      </c>
      <c r="F10">
        <f>Table3[[#This Row],[User]]+Table3[[#This Row],[Sys]]</f>
        <v>0.32</v>
      </c>
    </row>
    <row r="11" spans="1:6" x14ac:dyDescent="0.2">
      <c r="A11" t="s">
        <v>18</v>
      </c>
      <c r="B11" t="s">
        <v>19</v>
      </c>
      <c r="C11" t="s">
        <v>0</v>
      </c>
      <c r="D11">
        <v>11.48</v>
      </c>
      <c r="E11">
        <v>7.22</v>
      </c>
      <c r="F11">
        <f>Table3[[#This Row],[User]]+Table3[[#This Row],[Sys]]</f>
        <v>18.7</v>
      </c>
    </row>
    <row r="12" spans="1:6" x14ac:dyDescent="0.2">
      <c r="A12" t="s">
        <v>18</v>
      </c>
      <c r="B12" t="s">
        <v>19</v>
      </c>
      <c r="C12" t="s">
        <v>1</v>
      </c>
      <c r="D12">
        <v>11.4</v>
      </c>
      <c r="E12">
        <v>7.27</v>
      </c>
      <c r="F12">
        <f>Table3[[#This Row],[User]]+Table3[[#This Row],[Sys]]</f>
        <v>18.670000000000002</v>
      </c>
    </row>
    <row r="13" spans="1:6" x14ac:dyDescent="0.2">
      <c r="A13" t="s">
        <v>18</v>
      </c>
      <c r="B13" t="s">
        <v>19</v>
      </c>
      <c r="C13" t="s">
        <v>2</v>
      </c>
      <c r="D13">
        <v>0.21</v>
      </c>
      <c r="E13">
        <v>0.1</v>
      </c>
      <c r="F13">
        <f>Table3[[#This Row],[User]]+Table3[[#This Row],[Sys]]</f>
        <v>0.31</v>
      </c>
    </row>
    <row r="14" spans="1:6" x14ac:dyDescent="0.2">
      <c r="A14" t="s">
        <v>18</v>
      </c>
      <c r="B14" t="s">
        <v>19</v>
      </c>
      <c r="C14" t="s">
        <v>3</v>
      </c>
      <c r="D14">
        <v>0.21</v>
      </c>
      <c r="E14">
        <v>0.1</v>
      </c>
      <c r="F14">
        <f>Table3[[#This Row],[User]]+Table3[[#This Row],[Sys]]</f>
        <v>0.31</v>
      </c>
    </row>
    <row r="15" spans="1:6" x14ac:dyDescent="0.2">
      <c r="A15" t="s">
        <v>18</v>
      </c>
      <c r="B15" t="s">
        <v>19</v>
      </c>
      <c r="C15" t="s">
        <v>4</v>
      </c>
      <c r="D15">
        <v>7.0000000000000007E-2</v>
      </c>
      <c r="E15">
        <v>0.03</v>
      </c>
      <c r="F15">
        <f>Table3[[#This Row],[User]]+Table3[[#This Row],[Sys]]</f>
        <v>0.1</v>
      </c>
    </row>
    <row r="16" spans="1:6" x14ac:dyDescent="0.2">
      <c r="A16" t="s">
        <v>18</v>
      </c>
      <c r="B16" t="s">
        <v>19</v>
      </c>
      <c r="C16" t="s">
        <v>5</v>
      </c>
      <c r="D16">
        <v>7.0000000000000007E-2</v>
      </c>
      <c r="E16">
        <v>0.03</v>
      </c>
      <c r="F16">
        <f>Table3[[#This Row],[User]]+Table3[[#This Row],[Sys]]</f>
        <v>0.1</v>
      </c>
    </row>
    <row r="17" spans="1:6" x14ac:dyDescent="0.2">
      <c r="A17" t="s">
        <v>18</v>
      </c>
      <c r="B17" t="s">
        <v>19</v>
      </c>
      <c r="C17" t="s">
        <v>6</v>
      </c>
      <c r="D17">
        <v>0.23</v>
      </c>
      <c r="E17">
        <v>0.08</v>
      </c>
      <c r="F17">
        <f>Table3[[#This Row],[User]]+Table3[[#This Row],[Sys]]</f>
        <v>0.31</v>
      </c>
    </row>
    <row r="18" spans="1:6" x14ac:dyDescent="0.2">
      <c r="A18" t="s">
        <v>18</v>
      </c>
      <c r="B18" t="s">
        <v>19</v>
      </c>
      <c r="C18" t="s">
        <v>7</v>
      </c>
      <c r="D18">
        <v>0.28999999999999998</v>
      </c>
      <c r="E18">
        <v>0.11</v>
      </c>
      <c r="F18">
        <f>Table3[[#This Row],[User]]+Table3[[#This Row],[Sys]]</f>
        <v>0.39999999999999997</v>
      </c>
    </row>
    <row r="19" spans="1:6" x14ac:dyDescent="0.2">
      <c r="A19" t="s">
        <v>18</v>
      </c>
      <c r="B19" t="s">
        <v>19</v>
      </c>
      <c r="C19" t="s">
        <v>8</v>
      </c>
      <c r="D19">
        <v>0.22</v>
      </c>
      <c r="E19">
        <v>0.1</v>
      </c>
      <c r="F19">
        <f>Table3[[#This Row],[User]]+Table3[[#This Row],[Sys]]</f>
        <v>0.32</v>
      </c>
    </row>
    <row r="20" spans="1:6" x14ac:dyDescent="0.2">
      <c r="A20" t="s">
        <v>18</v>
      </c>
      <c r="B20" t="s">
        <v>19</v>
      </c>
      <c r="C20" t="s">
        <v>0</v>
      </c>
      <c r="D20">
        <v>11.45</v>
      </c>
      <c r="E20">
        <v>7.27</v>
      </c>
      <c r="F20">
        <f>Table3[[#This Row],[User]]+Table3[[#This Row],[Sys]]</f>
        <v>18.72</v>
      </c>
    </row>
    <row r="21" spans="1:6" x14ac:dyDescent="0.2">
      <c r="A21" t="s">
        <v>18</v>
      </c>
      <c r="B21" t="s">
        <v>19</v>
      </c>
      <c r="C21" t="s">
        <v>1</v>
      </c>
      <c r="D21">
        <v>11.84</v>
      </c>
      <c r="E21">
        <v>7.19</v>
      </c>
      <c r="F21">
        <f>Table3[[#This Row],[User]]+Table3[[#This Row],[Sys]]</f>
        <v>19.03</v>
      </c>
    </row>
    <row r="22" spans="1:6" x14ac:dyDescent="0.2">
      <c r="A22" t="s">
        <v>18</v>
      </c>
      <c r="B22" t="s">
        <v>19</v>
      </c>
      <c r="C22" t="s">
        <v>2</v>
      </c>
      <c r="D22">
        <v>0.24</v>
      </c>
      <c r="E22">
        <v>0.12</v>
      </c>
      <c r="F22">
        <f>Table3[[#This Row],[User]]+Table3[[#This Row],[Sys]]</f>
        <v>0.36</v>
      </c>
    </row>
    <row r="23" spans="1:6" x14ac:dyDescent="0.2">
      <c r="A23" t="s">
        <v>18</v>
      </c>
      <c r="B23" t="s">
        <v>19</v>
      </c>
      <c r="C23" t="s">
        <v>3</v>
      </c>
      <c r="D23">
        <v>0.23</v>
      </c>
      <c r="E23">
        <v>0.11</v>
      </c>
      <c r="F23">
        <f>Table3[[#This Row],[User]]+Table3[[#This Row],[Sys]]</f>
        <v>0.34</v>
      </c>
    </row>
    <row r="24" spans="1:6" x14ac:dyDescent="0.2">
      <c r="A24" t="s">
        <v>18</v>
      </c>
      <c r="B24" t="s">
        <v>19</v>
      </c>
      <c r="C24" t="s">
        <v>4</v>
      </c>
      <c r="D24">
        <v>0.08</v>
      </c>
      <c r="E24">
        <v>0.03</v>
      </c>
      <c r="F24">
        <f>Table3[[#This Row],[User]]+Table3[[#This Row],[Sys]]</f>
        <v>0.11</v>
      </c>
    </row>
    <row r="25" spans="1:6" x14ac:dyDescent="0.2">
      <c r="A25" t="s">
        <v>18</v>
      </c>
      <c r="B25" t="s">
        <v>19</v>
      </c>
      <c r="C25" t="s">
        <v>5</v>
      </c>
      <c r="D25">
        <v>0.08</v>
      </c>
      <c r="E25">
        <v>0.04</v>
      </c>
      <c r="F25">
        <f>Table3[[#This Row],[User]]+Table3[[#This Row],[Sys]]</f>
        <v>0.12</v>
      </c>
    </row>
    <row r="26" spans="1:6" x14ac:dyDescent="0.2">
      <c r="A26" t="s">
        <v>18</v>
      </c>
      <c r="B26" t="s">
        <v>19</v>
      </c>
      <c r="C26" t="s">
        <v>6</v>
      </c>
      <c r="D26">
        <v>0.25</v>
      </c>
      <c r="E26">
        <v>0.09</v>
      </c>
      <c r="F26">
        <f>Table3[[#This Row],[User]]+Table3[[#This Row],[Sys]]</f>
        <v>0.33999999999999997</v>
      </c>
    </row>
    <row r="27" spans="1:6" x14ac:dyDescent="0.2">
      <c r="A27" t="s">
        <v>18</v>
      </c>
      <c r="B27" t="s">
        <v>19</v>
      </c>
      <c r="C27" t="s">
        <v>7</v>
      </c>
      <c r="D27">
        <v>0.31</v>
      </c>
      <c r="E27">
        <v>0.11</v>
      </c>
      <c r="F27">
        <f>Table3[[#This Row],[User]]+Table3[[#This Row],[Sys]]</f>
        <v>0.42</v>
      </c>
    </row>
    <row r="28" spans="1:6" x14ac:dyDescent="0.2">
      <c r="A28" t="s">
        <v>18</v>
      </c>
      <c r="B28" t="s">
        <v>19</v>
      </c>
      <c r="C28" t="s">
        <v>8</v>
      </c>
      <c r="D28">
        <v>0.23</v>
      </c>
      <c r="E28">
        <v>0.11</v>
      </c>
      <c r="F28">
        <f>Table3[[#This Row],[User]]+Table3[[#This Row],[Sys]]</f>
        <v>0.34</v>
      </c>
    </row>
    <row r="29" spans="1:6" x14ac:dyDescent="0.2">
      <c r="A29" t="s">
        <v>18</v>
      </c>
      <c r="B29" t="s">
        <v>19</v>
      </c>
      <c r="C29" t="s">
        <v>0</v>
      </c>
      <c r="D29">
        <v>11.95</v>
      </c>
      <c r="E29">
        <v>7.48</v>
      </c>
      <c r="F29">
        <f>Table3[[#This Row],[User]]+Table3[[#This Row],[Sys]]</f>
        <v>19.43</v>
      </c>
    </row>
    <row r="30" spans="1:6" x14ac:dyDescent="0.2">
      <c r="A30" t="s">
        <v>18</v>
      </c>
      <c r="B30" t="s">
        <v>19</v>
      </c>
      <c r="C30" t="s">
        <v>1</v>
      </c>
      <c r="D30">
        <v>11.81</v>
      </c>
      <c r="E30">
        <v>7.37</v>
      </c>
      <c r="F30">
        <f>Table3[[#This Row],[User]]+Table3[[#This Row],[Sys]]</f>
        <v>19.18</v>
      </c>
    </row>
    <row r="31" spans="1:6" x14ac:dyDescent="0.2">
      <c r="A31" t="s">
        <v>18</v>
      </c>
      <c r="B31" t="s">
        <v>19</v>
      </c>
      <c r="C31" t="s">
        <v>2</v>
      </c>
      <c r="D31">
        <v>0.22</v>
      </c>
      <c r="E31">
        <v>0.11</v>
      </c>
      <c r="F31">
        <f>Table3[[#This Row],[User]]+Table3[[#This Row],[Sys]]</f>
        <v>0.33</v>
      </c>
    </row>
    <row r="32" spans="1:6" x14ac:dyDescent="0.2">
      <c r="A32" t="s">
        <v>18</v>
      </c>
      <c r="B32" t="s">
        <v>19</v>
      </c>
      <c r="C32" t="s">
        <v>3</v>
      </c>
      <c r="D32">
        <v>0.23</v>
      </c>
      <c r="E32">
        <v>0.12</v>
      </c>
      <c r="F32">
        <f>Table3[[#This Row],[User]]+Table3[[#This Row],[Sys]]</f>
        <v>0.35</v>
      </c>
    </row>
    <row r="33" spans="1:6" x14ac:dyDescent="0.2">
      <c r="A33" t="s">
        <v>18</v>
      </c>
      <c r="B33" t="s">
        <v>19</v>
      </c>
      <c r="C33" t="s">
        <v>4</v>
      </c>
      <c r="D33">
        <v>7.0000000000000007E-2</v>
      </c>
      <c r="E33">
        <v>0.03</v>
      </c>
      <c r="F33">
        <f>Table3[[#This Row],[User]]+Table3[[#This Row],[Sys]]</f>
        <v>0.1</v>
      </c>
    </row>
    <row r="34" spans="1:6" x14ac:dyDescent="0.2">
      <c r="A34" t="s">
        <v>18</v>
      </c>
      <c r="B34" t="s">
        <v>19</v>
      </c>
      <c r="C34" t="s">
        <v>5</v>
      </c>
      <c r="D34">
        <v>7.0000000000000007E-2</v>
      </c>
      <c r="E34">
        <v>0.03</v>
      </c>
      <c r="F34">
        <f>Table3[[#This Row],[User]]+Table3[[#This Row],[Sys]]</f>
        <v>0.1</v>
      </c>
    </row>
    <row r="35" spans="1:6" x14ac:dyDescent="0.2">
      <c r="A35" t="s">
        <v>18</v>
      </c>
      <c r="B35" t="s">
        <v>19</v>
      </c>
      <c r="C35" t="s">
        <v>6</v>
      </c>
      <c r="D35">
        <v>0.24</v>
      </c>
      <c r="E35">
        <v>0.09</v>
      </c>
      <c r="F35">
        <f>Table3[[#This Row],[User]]+Table3[[#This Row],[Sys]]</f>
        <v>0.32999999999999996</v>
      </c>
    </row>
    <row r="36" spans="1:6" x14ac:dyDescent="0.2">
      <c r="A36" t="s">
        <v>18</v>
      </c>
      <c r="B36" t="s">
        <v>19</v>
      </c>
      <c r="C36" t="s">
        <v>7</v>
      </c>
      <c r="D36">
        <v>0.3</v>
      </c>
      <c r="E36">
        <v>0.11</v>
      </c>
      <c r="F36">
        <f>Table3[[#This Row],[User]]+Table3[[#This Row],[Sys]]</f>
        <v>0.41</v>
      </c>
    </row>
    <row r="37" spans="1:6" x14ac:dyDescent="0.2">
      <c r="A37" t="s">
        <v>18</v>
      </c>
      <c r="B37" t="s">
        <v>19</v>
      </c>
      <c r="C37" t="s">
        <v>8</v>
      </c>
      <c r="D37">
        <v>0.22</v>
      </c>
      <c r="E37">
        <v>0.1</v>
      </c>
      <c r="F37">
        <f>Table3[[#This Row],[User]]+Table3[[#This Row],[Sys]]</f>
        <v>0.32</v>
      </c>
    </row>
    <row r="38" spans="1:6" x14ac:dyDescent="0.2">
      <c r="A38" t="s">
        <v>18</v>
      </c>
      <c r="B38" t="s">
        <v>19</v>
      </c>
      <c r="C38" t="s">
        <v>0</v>
      </c>
      <c r="D38">
        <v>11.8</v>
      </c>
      <c r="E38">
        <v>7.24</v>
      </c>
      <c r="F38">
        <f>Table3[[#This Row],[User]]+Table3[[#This Row],[Sys]]</f>
        <v>19.04</v>
      </c>
    </row>
    <row r="39" spans="1:6" x14ac:dyDescent="0.2">
      <c r="A39" t="s">
        <v>18</v>
      </c>
      <c r="B39" t="s">
        <v>19</v>
      </c>
      <c r="C39" t="s">
        <v>1</v>
      </c>
      <c r="D39">
        <v>11.77</v>
      </c>
      <c r="E39">
        <v>7.32</v>
      </c>
      <c r="F39">
        <f>Table3[[#This Row],[User]]+Table3[[#This Row],[Sys]]</f>
        <v>19.09</v>
      </c>
    </row>
    <row r="40" spans="1:6" x14ac:dyDescent="0.2">
      <c r="A40" t="s">
        <v>18</v>
      </c>
      <c r="B40" t="s">
        <v>19</v>
      </c>
      <c r="C40" t="s">
        <v>2</v>
      </c>
      <c r="D40">
        <v>0.21</v>
      </c>
      <c r="E40">
        <v>0.11</v>
      </c>
      <c r="F40">
        <f>Table3[[#This Row],[User]]+Table3[[#This Row],[Sys]]</f>
        <v>0.32</v>
      </c>
    </row>
    <row r="41" spans="1:6" x14ac:dyDescent="0.2">
      <c r="A41" t="s">
        <v>18</v>
      </c>
      <c r="B41" t="s">
        <v>19</v>
      </c>
      <c r="C41" t="s">
        <v>3</v>
      </c>
      <c r="D41">
        <v>0.22</v>
      </c>
      <c r="E41">
        <v>0.11</v>
      </c>
      <c r="F41">
        <f>Table3[[#This Row],[User]]+Table3[[#This Row],[Sys]]</f>
        <v>0.33</v>
      </c>
    </row>
    <row r="42" spans="1:6" x14ac:dyDescent="0.2">
      <c r="A42" t="s">
        <v>18</v>
      </c>
      <c r="B42" t="s">
        <v>19</v>
      </c>
      <c r="C42" t="s">
        <v>4</v>
      </c>
      <c r="D42">
        <v>7.0000000000000007E-2</v>
      </c>
      <c r="E42">
        <v>0.03</v>
      </c>
      <c r="F42">
        <f>Table3[[#This Row],[User]]+Table3[[#This Row],[Sys]]</f>
        <v>0.1</v>
      </c>
    </row>
    <row r="43" spans="1:6" x14ac:dyDescent="0.2">
      <c r="A43" t="s">
        <v>18</v>
      </c>
      <c r="B43" t="s">
        <v>19</v>
      </c>
      <c r="C43" t="s">
        <v>5</v>
      </c>
      <c r="D43">
        <v>7.0000000000000007E-2</v>
      </c>
      <c r="E43">
        <v>0.03</v>
      </c>
      <c r="F43">
        <f>Table3[[#This Row],[User]]+Table3[[#This Row],[Sys]]</f>
        <v>0.1</v>
      </c>
    </row>
    <row r="44" spans="1:6" x14ac:dyDescent="0.2">
      <c r="A44" t="s">
        <v>18</v>
      </c>
      <c r="B44" t="s">
        <v>19</v>
      </c>
      <c r="C44" t="s">
        <v>6</v>
      </c>
      <c r="D44">
        <v>0.17</v>
      </c>
      <c r="E44">
        <v>7.0000000000000007E-2</v>
      </c>
      <c r="F44">
        <f>Table3[[#This Row],[User]]+Table3[[#This Row],[Sys]]</f>
        <v>0.24000000000000002</v>
      </c>
    </row>
    <row r="45" spans="1:6" x14ac:dyDescent="0.2">
      <c r="A45" t="s">
        <v>18</v>
      </c>
      <c r="B45" t="s">
        <v>19</v>
      </c>
      <c r="C45" t="s">
        <v>7</v>
      </c>
      <c r="D45">
        <v>0.28999999999999998</v>
      </c>
      <c r="E45">
        <v>0.11</v>
      </c>
      <c r="F45">
        <f>Table3[[#This Row],[User]]+Table3[[#This Row],[Sys]]</f>
        <v>0.39999999999999997</v>
      </c>
    </row>
    <row r="46" spans="1:6" x14ac:dyDescent="0.2">
      <c r="A46" t="s">
        <v>18</v>
      </c>
      <c r="B46" t="s">
        <v>19</v>
      </c>
      <c r="C46" t="s">
        <v>8</v>
      </c>
      <c r="D46">
        <v>0.22</v>
      </c>
      <c r="E46">
        <v>0.1</v>
      </c>
      <c r="F46">
        <f>Table3[[#This Row],[User]]+Table3[[#This Row],[Sys]]</f>
        <v>0.32</v>
      </c>
    </row>
    <row r="47" spans="1:6" x14ac:dyDescent="0.2">
      <c r="A47" t="s">
        <v>18</v>
      </c>
      <c r="B47" t="s">
        <v>19</v>
      </c>
      <c r="C47" t="s">
        <v>0</v>
      </c>
      <c r="D47">
        <v>11.81</v>
      </c>
      <c r="E47">
        <v>7.42</v>
      </c>
      <c r="F47">
        <f>Table3[[#This Row],[User]]+Table3[[#This Row],[Sys]]</f>
        <v>19.23</v>
      </c>
    </row>
    <row r="48" spans="1:6" x14ac:dyDescent="0.2">
      <c r="A48" t="s">
        <v>18</v>
      </c>
      <c r="B48" t="s">
        <v>19</v>
      </c>
      <c r="C48" t="s">
        <v>1</v>
      </c>
      <c r="D48">
        <v>11.77</v>
      </c>
      <c r="E48">
        <v>6.94</v>
      </c>
      <c r="F48">
        <f>Table3[[#This Row],[User]]+Table3[[#This Row],[Sys]]</f>
        <v>18.71</v>
      </c>
    </row>
    <row r="49" spans="1:6" x14ac:dyDescent="0.2">
      <c r="A49" t="s">
        <v>18</v>
      </c>
      <c r="B49" t="s">
        <v>19</v>
      </c>
      <c r="C49" t="s">
        <v>2</v>
      </c>
      <c r="D49">
        <v>0.21</v>
      </c>
      <c r="E49">
        <v>0.11</v>
      </c>
      <c r="F49">
        <f>Table3[[#This Row],[User]]+Table3[[#This Row],[Sys]]</f>
        <v>0.32</v>
      </c>
    </row>
    <row r="50" spans="1:6" x14ac:dyDescent="0.2">
      <c r="A50" t="s">
        <v>18</v>
      </c>
      <c r="B50" t="s">
        <v>19</v>
      </c>
      <c r="C50" t="s">
        <v>3</v>
      </c>
      <c r="D50">
        <v>0.22</v>
      </c>
      <c r="E50">
        <v>0.11</v>
      </c>
      <c r="F50">
        <f>Table3[[#This Row],[User]]+Table3[[#This Row],[Sys]]</f>
        <v>0.33</v>
      </c>
    </row>
    <row r="51" spans="1:6" x14ac:dyDescent="0.2">
      <c r="A51" t="s">
        <v>18</v>
      </c>
      <c r="B51" t="s">
        <v>19</v>
      </c>
      <c r="C51" t="s">
        <v>4</v>
      </c>
      <c r="D51">
        <v>7.0000000000000007E-2</v>
      </c>
      <c r="E51">
        <v>0.03</v>
      </c>
      <c r="F51">
        <f>Table3[[#This Row],[User]]+Table3[[#This Row],[Sys]]</f>
        <v>0.1</v>
      </c>
    </row>
    <row r="52" spans="1:6" x14ac:dyDescent="0.2">
      <c r="A52" t="s">
        <v>18</v>
      </c>
      <c r="B52" t="s">
        <v>19</v>
      </c>
      <c r="C52" t="s">
        <v>5</v>
      </c>
      <c r="D52">
        <v>7.0000000000000007E-2</v>
      </c>
      <c r="E52">
        <v>0.03</v>
      </c>
      <c r="F52">
        <f>Table3[[#This Row],[User]]+Table3[[#This Row],[Sys]]</f>
        <v>0.1</v>
      </c>
    </row>
    <row r="53" spans="1:6" x14ac:dyDescent="0.2">
      <c r="A53" t="s">
        <v>18</v>
      </c>
      <c r="B53" t="s">
        <v>19</v>
      </c>
      <c r="C53" t="s">
        <v>6</v>
      </c>
      <c r="D53">
        <v>0.24</v>
      </c>
      <c r="E53">
        <v>0.08</v>
      </c>
      <c r="F53">
        <f>Table3[[#This Row],[User]]+Table3[[#This Row],[Sys]]</f>
        <v>0.32</v>
      </c>
    </row>
    <row r="54" spans="1:6" x14ac:dyDescent="0.2">
      <c r="A54" t="s">
        <v>18</v>
      </c>
      <c r="B54" t="s">
        <v>19</v>
      </c>
      <c r="C54" t="s">
        <v>7</v>
      </c>
      <c r="D54">
        <v>0.3</v>
      </c>
      <c r="E54">
        <v>0.11</v>
      </c>
      <c r="F54">
        <f>Table3[[#This Row],[User]]+Table3[[#This Row],[Sys]]</f>
        <v>0.41</v>
      </c>
    </row>
    <row r="55" spans="1:6" x14ac:dyDescent="0.2">
      <c r="A55" t="s">
        <v>18</v>
      </c>
      <c r="B55" t="s">
        <v>19</v>
      </c>
      <c r="C55" t="s">
        <v>8</v>
      </c>
      <c r="D55">
        <v>0.22</v>
      </c>
      <c r="E55">
        <v>0.1</v>
      </c>
      <c r="F55">
        <f>Table3[[#This Row],[User]]+Table3[[#This Row],[Sys]]</f>
        <v>0.32</v>
      </c>
    </row>
    <row r="56" spans="1:6" x14ac:dyDescent="0.2">
      <c r="A56" t="s">
        <v>18</v>
      </c>
      <c r="B56" t="s">
        <v>20</v>
      </c>
      <c r="C56" t="s">
        <v>0</v>
      </c>
      <c r="D56">
        <v>3.69</v>
      </c>
      <c r="E56">
        <v>2.37</v>
      </c>
      <c r="F56">
        <f>Table3[[#This Row],[User]]+Table3[[#This Row],[Sys]]</f>
        <v>6.0600000000000005</v>
      </c>
    </row>
    <row r="57" spans="1:6" x14ac:dyDescent="0.2">
      <c r="A57" t="s">
        <v>18</v>
      </c>
      <c r="B57" t="s">
        <v>20</v>
      </c>
      <c r="C57" t="s">
        <v>1</v>
      </c>
      <c r="D57">
        <v>3.68</v>
      </c>
      <c r="E57">
        <v>2.36</v>
      </c>
      <c r="F57">
        <f>Table3[[#This Row],[User]]+Table3[[#This Row],[Sys]]</f>
        <v>6.04</v>
      </c>
    </row>
    <row r="58" spans="1:6" x14ac:dyDescent="0.2">
      <c r="A58" t="s">
        <v>18</v>
      </c>
      <c r="B58" t="s">
        <v>20</v>
      </c>
      <c r="C58" t="s">
        <v>2</v>
      </c>
      <c r="D58">
        <v>0.14000000000000001</v>
      </c>
      <c r="E58">
        <v>7.0000000000000007E-2</v>
      </c>
      <c r="F58">
        <f>Table3[[#This Row],[User]]+Table3[[#This Row],[Sys]]</f>
        <v>0.21000000000000002</v>
      </c>
    </row>
    <row r="59" spans="1:6" x14ac:dyDescent="0.2">
      <c r="A59" t="s">
        <v>18</v>
      </c>
      <c r="B59" t="s">
        <v>20</v>
      </c>
      <c r="C59" t="s">
        <v>3</v>
      </c>
      <c r="D59">
        <v>0.14000000000000001</v>
      </c>
      <c r="E59">
        <v>7.0000000000000007E-2</v>
      </c>
      <c r="F59">
        <f>Table3[[#This Row],[User]]+Table3[[#This Row],[Sys]]</f>
        <v>0.21000000000000002</v>
      </c>
    </row>
    <row r="60" spans="1:6" x14ac:dyDescent="0.2">
      <c r="A60" t="s">
        <v>18</v>
      </c>
      <c r="B60" t="s">
        <v>20</v>
      </c>
      <c r="C60" t="s">
        <v>4</v>
      </c>
      <c r="D60">
        <v>7.0000000000000007E-2</v>
      </c>
      <c r="E60">
        <v>0.03</v>
      </c>
      <c r="F60">
        <f>Table3[[#This Row],[User]]+Table3[[#This Row],[Sys]]</f>
        <v>0.1</v>
      </c>
    </row>
    <row r="61" spans="1:6" x14ac:dyDescent="0.2">
      <c r="A61" t="s">
        <v>18</v>
      </c>
      <c r="B61" t="s">
        <v>20</v>
      </c>
      <c r="C61" t="s">
        <v>5</v>
      </c>
      <c r="D61">
        <v>7.0000000000000007E-2</v>
      </c>
      <c r="E61">
        <v>0.03</v>
      </c>
      <c r="F61">
        <f>Table3[[#This Row],[User]]+Table3[[#This Row],[Sys]]</f>
        <v>0.1</v>
      </c>
    </row>
    <row r="62" spans="1:6" x14ac:dyDescent="0.2">
      <c r="A62" t="s">
        <v>18</v>
      </c>
      <c r="B62" t="s">
        <v>20</v>
      </c>
      <c r="C62" t="s">
        <v>6</v>
      </c>
      <c r="D62">
        <v>0.15</v>
      </c>
      <c r="E62">
        <v>7.0000000000000007E-2</v>
      </c>
      <c r="F62">
        <f>Table3[[#This Row],[User]]+Table3[[#This Row],[Sys]]</f>
        <v>0.22</v>
      </c>
    </row>
    <row r="63" spans="1:6" x14ac:dyDescent="0.2">
      <c r="A63" t="s">
        <v>18</v>
      </c>
      <c r="B63" t="s">
        <v>20</v>
      </c>
      <c r="C63" t="s">
        <v>7</v>
      </c>
      <c r="D63">
        <v>0.27</v>
      </c>
      <c r="E63">
        <v>0.1</v>
      </c>
      <c r="F63">
        <f>Table3[[#This Row],[User]]+Table3[[#This Row],[Sys]]</f>
        <v>0.37</v>
      </c>
    </row>
    <row r="64" spans="1:6" x14ac:dyDescent="0.2">
      <c r="A64" t="s">
        <v>18</v>
      </c>
      <c r="B64" t="s">
        <v>20</v>
      </c>
      <c r="C64" t="s">
        <v>8</v>
      </c>
      <c r="D64">
        <v>0.2</v>
      </c>
      <c r="E64">
        <v>0.1</v>
      </c>
      <c r="F64">
        <f>Table3[[#This Row],[User]]+Table3[[#This Row],[Sys]]</f>
        <v>0.30000000000000004</v>
      </c>
    </row>
    <row r="65" spans="1:6" x14ac:dyDescent="0.2">
      <c r="A65" t="s">
        <v>18</v>
      </c>
      <c r="B65" t="s">
        <v>20</v>
      </c>
      <c r="C65" t="s">
        <v>0</v>
      </c>
      <c r="D65">
        <v>3.7</v>
      </c>
      <c r="E65">
        <v>2.4300000000000002</v>
      </c>
      <c r="F65">
        <f>Table3[[#This Row],[User]]+Table3[[#This Row],[Sys]]</f>
        <v>6.1300000000000008</v>
      </c>
    </row>
    <row r="66" spans="1:6" x14ac:dyDescent="0.2">
      <c r="A66" t="s">
        <v>18</v>
      </c>
      <c r="B66" t="s">
        <v>20</v>
      </c>
      <c r="C66" t="s">
        <v>1</v>
      </c>
      <c r="D66">
        <v>3.67</v>
      </c>
      <c r="E66">
        <v>2.35</v>
      </c>
      <c r="F66">
        <f>Table3[[#This Row],[User]]+Table3[[#This Row],[Sys]]</f>
        <v>6.02</v>
      </c>
    </row>
    <row r="67" spans="1:6" x14ac:dyDescent="0.2">
      <c r="A67" t="s">
        <v>18</v>
      </c>
      <c r="B67" t="s">
        <v>20</v>
      </c>
      <c r="C67" t="s">
        <v>2</v>
      </c>
      <c r="D67">
        <v>0.14000000000000001</v>
      </c>
      <c r="E67">
        <v>7.0000000000000007E-2</v>
      </c>
      <c r="F67">
        <f>Table3[[#This Row],[User]]+Table3[[#This Row],[Sys]]</f>
        <v>0.21000000000000002</v>
      </c>
    </row>
    <row r="68" spans="1:6" x14ac:dyDescent="0.2">
      <c r="A68" t="s">
        <v>18</v>
      </c>
      <c r="B68" t="s">
        <v>20</v>
      </c>
      <c r="C68" t="s">
        <v>3</v>
      </c>
      <c r="D68">
        <v>0.14000000000000001</v>
      </c>
      <c r="E68">
        <v>7.0000000000000007E-2</v>
      </c>
      <c r="F68">
        <f>Table3[[#This Row],[User]]+Table3[[#This Row],[Sys]]</f>
        <v>0.21000000000000002</v>
      </c>
    </row>
    <row r="69" spans="1:6" x14ac:dyDescent="0.2">
      <c r="A69" t="s">
        <v>18</v>
      </c>
      <c r="B69" t="s">
        <v>20</v>
      </c>
      <c r="C69" t="s">
        <v>4</v>
      </c>
      <c r="D69">
        <v>7.0000000000000007E-2</v>
      </c>
      <c r="E69">
        <v>0.03</v>
      </c>
      <c r="F69">
        <f>Table3[[#This Row],[User]]+Table3[[#This Row],[Sys]]</f>
        <v>0.1</v>
      </c>
    </row>
    <row r="70" spans="1:6" x14ac:dyDescent="0.2">
      <c r="A70" t="s">
        <v>18</v>
      </c>
      <c r="B70" t="s">
        <v>20</v>
      </c>
      <c r="C70" t="s">
        <v>5</v>
      </c>
      <c r="D70">
        <v>7.0000000000000007E-2</v>
      </c>
      <c r="E70">
        <v>0.03</v>
      </c>
      <c r="F70">
        <f>Table3[[#This Row],[User]]+Table3[[#This Row],[Sys]]</f>
        <v>0.1</v>
      </c>
    </row>
    <row r="71" spans="1:6" x14ac:dyDescent="0.2">
      <c r="A71" t="s">
        <v>18</v>
      </c>
      <c r="B71" t="s">
        <v>20</v>
      </c>
      <c r="C71" t="s">
        <v>6</v>
      </c>
      <c r="D71">
        <v>0.15</v>
      </c>
      <c r="E71">
        <v>0.06</v>
      </c>
      <c r="F71">
        <f>Table3[[#This Row],[User]]+Table3[[#This Row],[Sys]]</f>
        <v>0.21</v>
      </c>
    </row>
    <row r="72" spans="1:6" x14ac:dyDescent="0.2">
      <c r="A72" t="s">
        <v>18</v>
      </c>
      <c r="B72" t="s">
        <v>20</v>
      </c>
      <c r="C72" t="s">
        <v>7</v>
      </c>
      <c r="D72">
        <v>0.27</v>
      </c>
      <c r="E72">
        <v>0.1</v>
      </c>
      <c r="F72">
        <f>Table3[[#This Row],[User]]+Table3[[#This Row],[Sys]]</f>
        <v>0.37</v>
      </c>
    </row>
    <row r="73" spans="1:6" x14ac:dyDescent="0.2">
      <c r="A73" t="s">
        <v>18</v>
      </c>
      <c r="B73" t="s">
        <v>20</v>
      </c>
      <c r="C73" t="s">
        <v>8</v>
      </c>
      <c r="D73">
        <v>0.2</v>
      </c>
      <c r="E73">
        <v>0.09</v>
      </c>
      <c r="F73">
        <f>Table3[[#This Row],[User]]+Table3[[#This Row],[Sys]]</f>
        <v>0.29000000000000004</v>
      </c>
    </row>
    <row r="74" spans="1:6" x14ac:dyDescent="0.2">
      <c r="A74" t="s">
        <v>18</v>
      </c>
      <c r="B74" t="s">
        <v>20</v>
      </c>
      <c r="C74" t="s">
        <v>0</v>
      </c>
      <c r="D74">
        <v>3.68</v>
      </c>
      <c r="E74">
        <v>2.4</v>
      </c>
      <c r="F74">
        <f>Table3[[#This Row],[User]]+Table3[[#This Row],[Sys]]</f>
        <v>6.08</v>
      </c>
    </row>
    <row r="75" spans="1:6" x14ac:dyDescent="0.2">
      <c r="A75" t="s">
        <v>18</v>
      </c>
      <c r="B75" t="s">
        <v>20</v>
      </c>
      <c r="C75" t="s">
        <v>1</v>
      </c>
      <c r="D75">
        <v>3.68</v>
      </c>
      <c r="E75">
        <v>2.34</v>
      </c>
      <c r="F75">
        <f>Table3[[#This Row],[User]]+Table3[[#This Row],[Sys]]</f>
        <v>6.02</v>
      </c>
    </row>
    <row r="76" spans="1:6" x14ac:dyDescent="0.2">
      <c r="A76" t="s">
        <v>18</v>
      </c>
      <c r="B76" t="s">
        <v>20</v>
      </c>
      <c r="C76" t="s">
        <v>2</v>
      </c>
      <c r="D76">
        <v>0.15</v>
      </c>
      <c r="E76">
        <v>0.08</v>
      </c>
      <c r="F76">
        <f>Table3[[#This Row],[User]]+Table3[[#This Row],[Sys]]</f>
        <v>0.22999999999999998</v>
      </c>
    </row>
    <row r="77" spans="1:6" x14ac:dyDescent="0.2">
      <c r="A77" t="s">
        <v>18</v>
      </c>
      <c r="B77" t="s">
        <v>20</v>
      </c>
      <c r="C77" t="s">
        <v>3</v>
      </c>
      <c r="D77">
        <v>0.15</v>
      </c>
      <c r="E77">
        <v>7.0000000000000007E-2</v>
      </c>
      <c r="F77">
        <f>Table3[[#This Row],[User]]+Table3[[#This Row],[Sys]]</f>
        <v>0.22</v>
      </c>
    </row>
    <row r="78" spans="1:6" x14ac:dyDescent="0.2">
      <c r="A78" t="s">
        <v>18</v>
      </c>
      <c r="B78" t="s">
        <v>20</v>
      </c>
      <c r="C78" t="s">
        <v>4</v>
      </c>
      <c r="D78">
        <v>7.0000000000000007E-2</v>
      </c>
      <c r="E78">
        <v>0.03</v>
      </c>
      <c r="F78">
        <f>Table3[[#This Row],[User]]+Table3[[#This Row],[Sys]]</f>
        <v>0.1</v>
      </c>
    </row>
    <row r="79" spans="1:6" x14ac:dyDescent="0.2">
      <c r="A79" t="s">
        <v>18</v>
      </c>
      <c r="B79" t="s">
        <v>20</v>
      </c>
      <c r="C79" t="s">
        <v>5</v>
      </c>
      <c r="D79">
        <v>7.0000000000000007E-2</v>
      </c>
      <c r="E79">
        <v>0.03</v>
      </c>
      <c r="F79">
        <f>Table3[[#This Row],[User]]+Table3[[#This Row],[Sys]]</f>
        <v>0.1</v>
      </c>
    </row>
    <row r="80" spans="1:6" x14ac:dyDescent="0.2">
      <c r="A80" t="s">
        <v>18</v>
      </c>
      <c r="B80" t="s">
        <v>20</v>
      </c>
      <c r="C80" t="s">
        <v>6</v>
      </c>
      <c r="D80">
        <v>0.22</v>
      </c>
      <c r="E80">
        <v>0.08</v>
      </c>
      <c r="F80">
        <f>Table3[[#This Row],[User]]+Table3[[#This Row],[Sys]]</f>
        <v>0.3</v>
      </c>
    </row>
    <row r="81" spans="1:6" x14ac:dyDescent="0.2">
      <c r="A81" t="s">
        <v>18</v>
      </c>
      <c r="B81" t="s">
        <v>20</v>
      </c>
      <c r="C81" t="s">
        <v>7</v>
      </c>
      <c r="D81">
        <v>0.27</v>
      </c>
      <c r="E81">
        <v>0.1</v>
      </c>
      <c r="F81">
        <f>Table3[[#This Row],[User]]+Table3[[#This Row],[Sys]]</f>
        <v>0.37</v>
      </c>
    </row>
    <row r="82" spans="1:6" x14ac:dyDescent="0.2">
      <c r="A82" t="s">
        <v>18</v>
      </c>
      <c r="B82" t="s">
        <v>20</v>
      </c>
      <c r="C82" t="s">
        <v>8</v>
      </c>
      <c r="D82">
        <v>0.2</v>
      </c>
      <c r="E82">
        <v>0.09</v>
      </c>
      <c r="F82">
        <f>Table3[[#This Row],[User]]+Table3[[#This Row],[Sys]]</f>
        <v>0.29000000000000004</v>
      </c>
    </row>
    <row r="83" spans="1:6" x14ac:dyDescent="0.2">
      <c r="A83" t="s">
        <v>18</v>
      </c>
      <c r="B83" t="s">
        <v>20</v>
      </c>
      <c r="C83" t="s">
        <v>0</v>
      </c>
      <c r="D83">
        <v>3.66</v>
      </c>
      <c r="E83">
        <v>2.39</v>
      </c>
      <c r="F83">
        <f>Table3[[#This Row],[User]]+Table3[[#This Row],[Sys]]</f>
        <v>6.0500000000000007</v>
      </c>
    </row>
    <row r="84" spans="1:6" x14ac:dyDescent="0.2">
      <c r="A84" t="s">
        <v>18</v>
      </c>
      <c r="B84" t="s">
        <v>20</v>
      </c>
      <c r="C84" t="s">
        <v>1</v>
      </c>
      <c r="D84">
        <v>3.64</v>
      </c>
      <c r="E84">
        <v>2.37</v>
      </c>
      <c r="F84">
        <f>Table3[[#This Row],[User]]+Table3[[#This Row],[Sys]]</f>
        <v>6.01</v>
      </c>
    </row>
    <row r="85" spans="1:6" x14ac:dyDescent="0.2">
      <c r="A85" t="s">
        <v>18</v>
      </c>
      <c r="B85" t="s">
        <v>20</v>
      </c>
      <c r="C85" t="s">
        <v>2</v>
      </c>
      <c r="D85">
        <v>0.14000000000000001</v>
      </c>
      <c r="E85">
        <v>7.0000000000000007E-2</v>
      </c>
      <c r="F85">
        <f>Table3[[#This Row],[User]]+Table3[[#This Row],[Sys]]</f>
        <v>0.21000000000000002</v>
      </c>
    </row>
    <row r="86" spans="1:6" x14ac:dyDescent="0.2">
      <c r="A86" t="s">
        <v>18</v>
      </c>
      <c r="B86" t="s">
        <v>20</v>
      </c>
      <c r="C86" t="s">
        <v>3</v>
      </c>
      <c r="D86">
        <v>0.14000000000000001</v>
      </c>
      <c r="E86">
        <v>7.0000000000000007E-2</v>
      </c>
      <c r="F86">
        <f>Table3[[#This Row],[User]]+Table3[[#This Row],[Sys]]</f>
        <v>0.21000000000000002</v>
      </c>
    </row>
    <row r="87" spans="1:6" x14ac:dyDescent="0.2">
      <c r="A87" t="s">
        <v>18</v>
      </c>
      <c r="B87" t="s">
        <v>20</v>
      </c>
      <c r="C87" t="s">
        <v>4</v>
      </c>
      <c r="D87">
        <v>7.0000000000000007E-2</v>
      </c>
      <c r="E87">
        <v>0.03</v>
      </c>
      <c r="F87">
        <f>Table3[[#This Row],[User]]+Table3[[#This Row],[Sys]]</f>
        <v>0.1</v>
      </c>
    </row>
    <row r="88" spans="1:6" x14ac:dyDescent="0.2">
      <c r="A88" t="s">
        <v>18</v>
      </c>
      <c r="B88" t="s">
        <v>20</v>
      </c>
      <c r="C88" t="s">
        <v>5</v>
      </c>
      <c r="D88">
        <v>7.0000000000000007E-2</v>
      </c>
      <c r="E88">
        <v>0.03</v>
      </c>
      <c r="F88">
        <f>Table3[[#This Row],[User]]+Table3[[#This Row],[Sys]]</f>
        <v>0.1</v>
      </c>
    </row>
    <row r="89" spans="1:6" x14ac:dyDescent="0.2">
      <c r="A89" t="s">
        <v>18</v>
      </c>
      <c r="B89" t="s">
        <v>20</v>
      </c>
      <c r="C89" t="s">
        <v>6</v>
      </c>
      <c r="D89">
        <v>0.15</v>
      </c>
      <c r="E89">
        <v>0.06</v>
      </c>
      <c r="F89">
        <f>Table3[[#This Row],[User]]+Table3[[#This Row],[Sys]]</f>
        <v>0.21</v>
      </c>
    </row>
    <row r="90" spans="1:6" x14ac:dyDescent="0.2">
      <c r="A90" t="s">
        <v>18</v>
      </c>
      <c r="B90" t="s">
        <v>20</v>
      </c>
      <c r="C90" t="s">
        <v>7</v>
      </c>
      <c r="D90">
        <v>0.28000000000000003</v>
      </c>
      <c r="E90">
        <v>0.1</v>
      </c>
      <c r="F90">
        <f>Table3[[#This Row],[User]]+Table3[[#This Row],[Sys]]</f>
        <v>0.38</v>
      </c>
    </row>
    <row r="91" spans="1:6" x14ac:dyDescent="0.2">
      <c r="A91" t="s">
        <v>18</v>
      </c>
      <c r="B91" t="s">
        <v>20</v>
      </c>
      <c r="C91" t="s">
        <v>8</v>
      </c>
      <c r="D91">
        <v>0.2</v>
      </c>
      <c r="E91">
        <v>0.09</v>
      </c>
      <c r="F91">
        <f>Table3[[#This Row],[User]]+Table3[[#This Row],[Sys]]</f>
        <v>0.29000000000000004</v>
      </c>
    </row>
    <row r="92" spans="1:6" x14ac:dyDescent="0.2">
      <c r="A92" t="s">
        <v>18</v>
      </c>
      <c r="B92" t="s">
        <v>20</v>
      </c>
      <c r="C92" t="s">
        <v>0</v>
      </c>
      <c r="D92">
        <v>3.67</v>
      </c>
      <c r="E92">
        <v>2.36</v>
      </c>
      <c r="F92">
        <f>Table3[[#This Row],[User]]+Table3[[#This Row],[Sys]]</f>
        <v>6.0299999999999994</v>
      </c>
    </row>
    <row r="93" spans="1:6" x14ac:dyDescent="0.2">
      <c r="A93" t="s">
        <v>18</v>
      </c>
      <c r="B93" t="s">
        <v>20</v>
      </c>
      <c r="C93" t="s">
        <v>1</v>
      </c>
      <c r="D93">
        <v>3.64</v>
      </c>
      <c r="E93">
        <v>2.37</v>
      </c>
      <c r="F93">
        <f>Table3[[#This Row],[User]]+Table3[[#This Row],[Sys]]</f>
        <v>6.01</v>
      </c>
    </row>
    <row r="94" spans="1:6" x14ac:dyDescent="0.2">
      <c r="A94" t="s">
        <v>18</v>
      </c>
      <c r="B94" t="s">
        <v>20</v>
      </c>
      <c r="C94" t="s">
        <v>2</v>
      </c>
      <c r="D94">
        <v>0.14000000000000001</v>
      </c>
      <c r="E94">
        <v>7.0000000000000007E-2</v>
      </c>
      <c r="F94">
        <f>Table3[[#This Row],[User]]+Table3[[#This Row],[Sys]]</f>
        <v>0.21000000000000002</v>
      </c>
    </row>
    <row r="95" spans="1:6" x14ac:dyDescent="0.2">
      <c r="A95" t="s">
        <v>18</v>
      </c>
      <c r="B95" t="s">
        <v>20</v>
      </c>
      <c r="C95" t="s">
        <v>3</v>
      </c>
      <c r="D95">
        <v>0.14000000000000001</v>
      </c>
      <c r="E95">
        <v>7.0000000000000007E-2</v>
      </c>
      <c r="F95">
        <f>Table3[[#This Row],[User]]+Table3[[#This Row],[Sys]]</f>
        <v>0.21000000000000002</v>
      </c>
    </row>
    <row r="96" spans="1:6" x14ac:dyDescent="0.2">
      <c r="A96" t="s">
        <v>18</v>
      </c>
      <c r="B96" t="s">
        <v>20</v>
      </c>
      <c r="C96" t="s">
        <v>4</v>
      </c>
      <c r="D96">
        <v>7.0000000000000007E-2</v>
      </c>
      <c r="E96">
        <v>0.03</v>
      </c>
      <c r="F96">
        <f>Table3[[#This Row],[User]]+Table3[[#This Row],[Sys]]</f>
        <v>0.1</v>
      </c>
    </row>
    <row r="97" spans="1:6" x14ac:dyDescent="0.2">
      <c r="A97" t="s">
        <v>18</v>
      </c>
      <c r="B97" t="s">
        <v>20</v>
      </c>
      <c r="C97" t="s">
        <v>5</v>
      </c>
      <c r="D97">
        <v>7.0000000000000007E-2</v>
      </c>
      <c r="E97">
        <v>0.03</v>
      </c>
      <c r="F97">
        <f>Table3[[#This Row],[User]]+Table3[[#This Row],[Sys]]</f>
        <v>0.1</v>
      </c>
    </row>
    <row r="98" spans="1:6" x14ac:dyDescent="0.2">
      <c r="A98" t="s">
        <v>18</v>
      </c>
      <c r="B98" t="s">
        <v>20</v>
      </c>
      <c r="C98" t="s">
        <v>6</v>
      </c>
      <c r="D98">
        <v>0.15</v>
      </c>
      <c r="E98">
        <v>0.06</v>
      </c>
      <c r="F98">
        <f>Table3[[#This Row],[User]]+Table3[[#This Row],[Sys]]</f>
        <v>0.21</v>
      </c>
    </row>
    <row r="99" spans="1:6" x14ac:dyDescent="0.2">
      <c r="A99" t="s">
        <v>18</v>
      </c>
      <c r="B99" t="s">
        <v>20</v>
      </c>
      <c r="C99" t="s">
        <v>7</v>
      </c>
      <c r="D99">
        <v>0.27</v>
      </c>
      <c r="E99">
        <v>0.1</v>
      </c>
      <c r="F99">
        <f>Table3[[#This Row],[User]]+Table3[[#This Row],[Sys]]</f>
        <v>0.37</v>
      </c>
    </row>
    <row r="100" spans="1:6" x14ac:dyDescent="0.2">
      <c r="A100" t="s">
        <v>18</v>
      </c>
      <c r="B100" t="s">
        <v>20</v>
      </c>
      <c r="C100" t="s">
        <v>8</v>
      </c>
      <c r="D100">
        <v>0.2</v>
      </c>
      <c r="E100">
        <v>0.09</v>
      </c>
      <c r="F100">
        <f>Table3[[#This Row],[User]]+Table3[[#This Row],[Sys]]</f>
        <v>0.29000000000000004</v>
      </c>
    </row>
    <row r="101" spans="1:6" x14ac:dyDescent="0.2">
      <c r="A101" t="s">
        <v>18</v>
      </c>
      <c r="B101" t="s">
        <v>20</v>
      </c>
      <c r="C101" t="s">
        <v>0</v>
      </c>
      <c r="D101">
        <v>3.63</v>
      </c>
      <c r="E101">
        <v>2.34</v>
      </c>
      <c r="F101">
        <f>Table3[[#This Row],[User]]+Table3[[#This Row],[Sys]]</f>
        <v>5.97</v>
      </c>
    </row>
    <row r="102" spans="1:6" x14ac:dyDescent="0.2">
      <c r="A102" t="s">
        <v>18</v>
      </c>
      <c r="B102" t="s">
        <v>20</v>
      </c>
      <c r="C102" t="s">
        <v>1</v>
      </c>
      <c r="D102">
        <v>3.64</v>
      </c>
      <c r="E102">
        <v>2.35</v>
      </c>
      <c r="F102">
        <f>Table3[[#This Row],[User]]+Table3[[#This Row],[Sys]]</f>
        <v>5.99</v>
      </c>
    </row>
    <row r="103" spans="1:6" x14ac:dyDescent="0.2">
      <c r="A103" t="s">
        <v>18</v>
      </c>
      <c r="B103" t="s">
        <v>20</v>
      </c>
      <c r="C103" t="s">
        <v>2</v>
      </c>
      <c r="D103">
        <v>0.14000000000000001</v>
      </c>
      <c r="E103">
        <v>0.08</v>
      </c>
      <c r="F103">
        <f>Table3[[#This Row],[User]]+Table3[[#This Row],[Sys]]</f>
        <v>0.22000000000000003</v>
      </c>
    </row>
    <row r="104" spans="1:6" x14ac:dyDescent="0.2">
      <c r="A104" t="s">
        <v>18</v>
      </c>
      <c r="B104" t="s">
        <v>20</v>
      </c>
      <c r="C104" t="s">
        <v>3</v>
      </c>
      <c r="D104">
        <v>0.14000000000000001</v>
      </c>
      <c r="E104">
        <v>7.0000000000000007E-2</v>
      </c>
      <c r="F104">
        <f>Table3[[#This Row],[User]]+Table3[[#This Row],[Sys]]</f>
        <v>0.21000000000000002</v>
      </c>
    </row>
    <row r="105" spans="1:6" x14ac:dyDescent="0.2">
      <c r="A105" t="s">
        <v>18</v>
      </c>
      <c r="B105" t="s">
        <v>20</v>
      </c>
      <c r="C105" t="s">
        <v>4</v>
      </c>
      <c r="D105">
        <v>7.0000000000000007E-2</v>
      </c>
      <c r="E105">
        <v>0.03</v>
      </c>
      <c r="F105">
        <f>Table3[[#This Row],[User]]+Table3[[#This Row],[Sys]]</f>
        <v>0.1</v>
      </c>
    </row>
    <row r="106" spans="1:6" x14ac:dyDescent="0.2">
      <c r="A106" t="s">
        <v>18</v>
      </c>
      <c r="B106" t="s">
        <v>20</v>
      </c>
      <c r="C106" t="s">
        <v>5</v>
      </c>
      <c r="D106">
        <v>7.0000000000000007E-2</v>
      </c>
      <c r="E106">
        <v>0.03</v>
      </c>
      <c r="F106">
        <f>Table3[[#This Row],[User]]+Table3[[#This Row],[Sys]]</f>
        <v>0.1</v>
      </c>
    </row>
    <row r="107" spans="1:6" x14ac:dyDescent="0.2">
      <c r="A107" t="s">
        <v>18</v>
      </c>
      <c r="B107" t="s">
        <v>20</v>
      </c>
      <c r="C107" t="s">
        <v>6</v>
      </c>
      <c r="D107">
        <v>0.15</v>
      </c>
      <c r="E107">
        <v>0.06</v>
      </c>
      <c r="F107">
        <f>Table3[[#This Row],[User]]+Table3[[#This Row],[Sys]]</f>
        <v>0.21</v>
      </c>
    </row>
    <row r="108" spans="1:6" x14ac:dyDescent="0.2">
      <c r="A108" t="s">
        <v>18</v>
      </c>
      <c r="B108" t="s">
        <v>20</v>
      </c>
      <c r="C108" t="s">
        <v>7</v>
      </c>
      <c r="D108">
        <v>0.27</v>
      </c>
      <c r="E108">
        <v>0.1</v>
      </c>
      <c r="F108">
        <f>Table3[[#This Row],[User]]+Table3[[#This Row],[Sys]]</f>
        <v>0.37</v>
      </c>
    </row>
    <row r="109" spans="1:6" x14ac:dyDescent="0.2">
      <c r="A109" t="s">
        <v>18</v>
      </c>
      <c r="B109" t="s">
        <v>20</v>
      </c>
      <c r="C109" t="s">
        <v>8</v>
      </c>
      <c r="D109">
        <v>0.2</v>
      </c>
      <c r="E109">
        <v>0.09</v>
      </c>
      <c r="F109">
        <f>Table3[[#This Row],[User]]+Table3[[#This Row],[Sys]]</f>
        <v>0.29000000000000004</v>
      </c>
    </row>
    <row r="110" spans="1:6" x14ac:dyDescent="0.2">
      <c r="A110" t="s">
        <v>21</v>
      </c>
      <c r="B110" t="s">
        <v>19</v>
      </c>
      <c r="C110" t="s">
        <v>0</v>
      </c>
      <c r="D110">
        <v>75.23</v>
      </c>
      <c r="E110">
        <v>18.59</v>
      </c>
      <c r="F110">
        <f>Table3[[#This Row],[User]]+Table3[[#This Row],[Sys]]</f>
        <v>93.820000000000007</v>
      </c>
    </row>
    <row r="111" spans="1:6" x14ac:dyDescent="0.2">
      <c r="A111" t="s">
        <v>21</v>
      </c>
      <c r="B111" t="s">
        <v>19</v>
      </c>
      <c r="C111" t="s">
        <v>1</v>
      </c>
      <c r="D111">
        <v>56.52</v>
      </c>
      <c r="E111">
        <v>14.65</v>
      </c>
      <c r="F111">
        <f>Table3[[#This Row],[User]]+Table3[[#This Row],[Sys]]</f>
        <v>71.17</v>
      </c>
    </row>
    <row r="112" spans="1:6" x14ac:dyDescent="0.2">
      <c r="A112" t="s">
        <v>21</v>
      </c>
      <c r="B112" t="s">
        <v>19</v>
      </c>
      <c r="C112" t="s">
        <v>2</v>
      </c>
      <c r="D112">
        <v>2.31</v>
      </c>
      <c r="E112">
        <v>0.49</v>
      </c>
      <c r="F112">
        <f>Table3[[#This Row],[User]]+Table3[[#This Row],[Sys]]</f>
        <v>2.8</v>
      </c>
    </row>
    <row r="113" spans="1:6" x14ac:dyDescent="0.2">
      <c r="A113" t="s">
        <v>21</v>
      </c>
      <c r="B113" t="s">
        <v>19</v>
      </c>
      <c r="C113" t="s">
        <v>3</v>
      </c>
      <c r="D113">
        <v>2.0699999999999998</v>
      </c>
      <c r="E113">
        <v>0.4</v>
      </c>
      <c r="F113">
        <f>Table3[[#This Row],[User]]+Table3[[#This Row],[Sys]]</f>
        <v>2.4699999999999998</v>
      </c>
    </row>
    <row r="114" spans="1:6" x14ac:dyDescent="0.2">
      <c r="A114" t="s">
        <v>21</v>
      </c>
      <c r="B114" t="s">
        <v>19</v>
      </c>
      <c r="C114" t="s">
        <v>4</v>
      </c>
      <c r="D114">
        <v>2.08</v>
      </c>
      <c r="E114">
        <v>0.43</v>
      </c>
      <c r="F114">
        <f>Table3[[#This Row],[User]]+Table3[[#This Row],[Sys]]</f>
        <v>2.5100000000000002</v>
      </c>
    </row>
    <row r="115" spans="1:6" x14ac:dyDescent="0.2">
      <c r="A115" t="s">
        <v>21</v>
      </c>
      <c r="B115" t="s">
        <v>19</v>
      </c>
      <c r="C115" t="s">
        <v>5</v>
      </c>
      <c r="D115">
        <v>1.26</v>
      </c>
      <c r="E115">
        <v>0.28000000000000003</v>
      </c>
      <c r="F115">
        <f>Table3[[#This Row],[User]]+Table3[[#This Row],[Sys]]</f>
        <v>1.54</v>
      </c>
    </row>
    <row r="116" spans="1:6" x14ac:dyDescent="0.2">
      <c r="A116" t="s">
        <v>21</v>
      </c>
      <c r="B116" t="s">
        <v>19</v>
      </c>
      <c r="C116" t="s">
        <v>6</v>
      </c>
      <c r="D116">
        <v>86.17</v>
      </c>
      <c r="E116">
        <v>12.39</v>
      </c>
      <c r="F116">
        <f>Table3[[#This Row],[User]]+Table3[[#This Row],[Sys]]</f>
        <v>98.56</v>
      </c>
    </row>
    <row r="117" spans="1:6" x14ac:dyDescent="0.2">
      <c r="A117" t="s">
        <v>21</v>
      </c>
      <c r="B117" t="s">
        <v>19</v>
      </c>
      <c r="C117" t="s">
        <v>7</v>
      </c>
      <c r="D117">
        <v>17.66</v>
      </c>
      <c r="E117">
        <v>2.82</v>
      </c>
      <c r="F117">
        <f>Table3[[#This Row],[User]]+Table3[[#This Row],[Sys]]</f>
        <v>20.48</v>
      </c>
    </row>
    <row r="118" spans="1:6" x14ac:dyDescent="0.2">
      <c r="A118" t="s">
        <v>21</v>
      </c>
      <c r="B118" t="s">
        <v>19</v>
      </c>
      <c r="C118" t="s">
        <v>8</v>
      </c>
      <c r="D118">
        <v>28.06</v>
      </c>
      <c r="E118">
        <v>4.1399999999999997</v>
      </c>
      <c r="F118">
        <f>Table3[[#This Row],[User]]+Table3[[#This Row],[Sys]]</f>
        <v>32.199999999999996</v>
      </c>
    </row>
    <row r="119" spans="1:6" x14ac:dyDescent="0.2">
      <c r="A119" t="s">
        <v>21</v>
      </c>
      <c r="B119" t="s">
        <v>19</v>
      </c>
      <c r="C119" t="s">
        <v>0</v>
      </c>
      <c r="D119">
        <v>76.900000000000006</v>
      </c>
      <c r="E119">
        <v>18.88</v>
      </c>
      <c r="F119">
        <f>Table3[[#This Row],[User]]+Table3[[#This Row],[Sys]]</f>
        <v>95.78</v>
      </c>
    </row>
    <row r="120" spans="1:6" x14ac:dyDescent="0.2">
      <c r="A120" t="s">
        <v>21</v>
      </c>
      <c r="B120" t="s">
        <v>19</v>
      </c>
      <c r="C120" t="s">
        <v>1</v>
      </c>
      <c r="D120">
        <v>57.24</v>
      </c>
      <c r="E120">
        <v>14.86</v>
      </c>
      <c r="F120">
        <f>Table3[[#This Row],[User]]+Table3[[#This Row],[Sys]]</f>
        <v>72.099999999999994</v>
      </c>
    </row>
    <row r="121" spans="1:6" x14ac:dyDescent="0.2">
      <c r="A121" t="s">
        <v>21</v>
      </c>
      <c r="B121" t="s">
        <v>19</v>
      </c>
      <c r="C121" t="s">
        <v>2</v>
      </c>
      <c r="D121">
        <v>2.08</v>
      </c>
      <c r="E121">
        <v>0.45</v>
      </c>
      <c r="F121">
        <f>Table3[[#This Row],[User]]+Table3[[#This Row],[Sys]]</f>
        <v>2.5300000000000002</v>
      </c>
    </row>
    <row r="122" spans="1:6" x14ac:dyDescent="0.2">
      <c r="A122" t="s">
        <v>21</v>
      </c>
      <c r="B122" t="s">
        <v>19</v>
      </c>
      <c r="C122" t="s">
        <v>3</v>
      </c>
      <c r="D122">
        <v>2.14</v>
      </c>
      <c r="E122">
        <v>0.41</v>
      </c>
      <c r="F122">
        <f>Table3[[#This Row],[User]]+Table3[[#This Row],[Sys]]</f>
        <v>2.5500000000000003</v>
      </c>
    </row>
    <row r="123" spans="1:6" x14ac:dyDescent="0.2">
      <c r="A123" t="s">
        <v>21</v>
      </c>
      <c r="B123" t="s">
        <v>19</v>
      </c>
      <c r="C123" t="s">
        <v>4</v>
      </c>
      <c r="D123">
        <v>2.1</v>
      </c>
      <c r="E123">
        <v>0.4</v>
      </c>
      <c r="F123">
        <f>Table3[[#This Row],[User]]+Table3[[#This Row],[Sys]]</f>
        <v>2.5</v>
      </c>
    </row>
    <row r="124" spans="1:6" x14ac:dyDescent="0.2">
      <c r="A124" t="s">
        <v>21</v>
      </c>
      <c r="B124" t="s">
        <v>19</v>
      </c>
      <c r="C124" t="s">
        <v>5</v>
      </c>
      <c r="D124">
        <v>1.26</v>
      </c>
      <c r="E124">
        <v>0.24</v>
      </c>
      <c r="F124">
        <f>Table3[[#This Row],[User]]+Table3[[#This Row],[Sys]]</f>
        <v>1.5</v>
      </c>
    </row>
    <row r="125" spans="1:6" x14ac:dyDescent="0.2">
      <c r="A125" t="s">
        <v>21</v>
      </c>
      <c r="B125" t="s">
        <v>19</v>
      </c>
      <c r="C125" t="s">
        <v>6</v>
      </c>
      <c r="D125">
        <v>83.74</v>
      </c>
      <c r="E125">
        <v>12.15</v>
      </c>
      <c r="F125">
        <f>Table3[[#This Row],[User]]+Table3[[#This Row],[Sys]]</f>
        <v>95.89</v>
      </c>
    </row>
    <row r="126" spans="1:6" x14ac:dyDescent="0.2">
      <c r="A126" t="s">
        <v>21</v>
      </c>
      <c r="B126" t="s">
        <v>19</v>
      </c>
      <c r="C126" t="s">
        <v>7</v>
      </c>
      <c r="D126">
        <v>18.55</v>
      </c>
      <c r="E126">
        <v>3.01</v>
      </c>
      <c r="F126">
        <f>Table3[[#This Row],[User]]+Table3[[#This Row],[Sys]]</f>
        <v>21.560000000000002</v>
      </c>
    </row>
    <row r="127" spans="1:6" x14ac:dyDescent="0.2">
      <c r="A127" t="s">
        <v>21</v>
      </c>
      <c r="B127" t="s">
        <v>19</v>
      </c>
      <c r="C127" t="s">
        <v>8</v>
      </c>
      <c r="D127">
        <v>28.02</v>
      </c>
      <c r="E127">
        <v>4.26</v>
      </c>
      <c r="F127">
        <f>Table3[[#This Row],[User]]+Table3[[#This Row],[Sys]]</f>
        <v>32.28</v>
      </c>
    </row>
    <row r="128" spans="1:6" x14ac:dyDescent="0.2">
      <c r="A128" t="s">
        <v>21</v>
      </c>
      <c r="B128" t="s">
        <v>19</v>
      </c>
      <c r="C128" t="s">
        <v>0</v>
      </c>
      <c r="D128">
        <v>76.650000000000006</v>
      </c>
      <c r="E128">
        <v>18.8</v>
      </c>
      <c r="F128">
        <f>Table3[[#This Row],[User]]+Table3[[#This Row],[Sys]]</f>
        <v>95.45</v>
      </c>
    </row>
    <row r="129" spans="1:6" x14ac:dyDescent="0.2">
      <c r="A129" t="s">
        <v>21</v>
      </c>
      <c r="B129" t="s">
        <v>19</v>
      </c>
      <c r="C129" t="s">
        <v>1</v>
      </c>
      <c r="D129">
        <v>56.61</v>
      </c>
      <c r="E129">
        <v>14.87</v>
      </c>
      <c r="F129">
        <f>Table3[[#This Row],[User]]+Table3[[#This Row],[Sys]]</f>
        <v>71.48</v>
      </c>
    </row>
    <row r="130" spans="1:6" x14ac:dyDescent="0.2">
      <c r="A130" t="s">
        <v>21</v>
      </c>
      <c r="B130" t="s">
        <v>19</v>
      </c>
      <c r="C130" t="s">
        <v>2</v>
      </c>
      <c r="D130">
        <v>2.12</v>
      </c>
      <c r="E130">
        <v>0.47</v>
      </c>
      <c r="F130">
        <f>Table3[[#This Row],[User]]+Table3[[#This Row],[Sys]]</f>
        <v>2.59</v>
      </c>
    </row>
    <row r="131" spans="1:6" x14ac:dyDescent="0.2">
      <c r="A131" t="s">
        <v>21</v>
      </c>
      <c r="B131" t="s">
        <v>19</v>
      </c>
      <c r="C131" t="s">
        <v>3</v>
      </c>
      <c r="D131">
        <v>2.19</v>
      </c>
      <c r="E131">
        <v>0.45</v>
      </c>
      <c r="F131">
        <f>Table3[[#This Row],[User]]+Table3[[#This Row],[Sys]]</f>
        <v>2.64</v>
      </c>
    </row>
    <row r="132" spans="1:6" x14ac:dyDescent="0.2">
      <c r="A132" t="s">
        <v>21</v>
      </c>
      <c r="B132" t="s">
        <v>19</v>
      </c>
      <c r="C132" t="s">
        <v>4</v>
      </c>
      <c r="D132">
        <v>2.14</v>
      </c>
      <c r="E132">
        <v>0.45</v>
      </c>
      <c r="F132">
        <f>Table3[[#This Row],[User]]+Table3[[#This Row],[Sys]]</f>
        <v>2.5900000000000003</v>
      </c>
    </row>
    <row r="133" spans="1:6" x14ac:dyDescent="0.2">
      <c r="A133" t="s">
        <v>21</v>
      </c>
      <c r="B133" t="s">
        <v>19</v>
      </c>
      <c r="C133" t="s">
        <v>5</v>
      </c>
      <c r="D133">
        <v>1.26</v>
      </c>
      <c r="E133">
        <v>0.28000000000000003</v>
      </c>
      <c r="F133">
        <f>Table3[[#This Row],[User]]+Table3[[#This Row],[Sys]]</f>
        <v>1.54</v>
      </c>
    </row>
    <row r="134" spans="1:6" x14ac:dyDescent="0.2">
      <c r="A134" t="s">
        <v>21</v>
      </c>
      <c r="B134" t="s">
        <v>19</v>
      </c>
      <c r="C134" t="s">
        <v>6</v>
      </c>
      <c r="D134">
        <v>84.16</v>
      </c>
      <c r="E134">
        <v>12.66</v>
      </c>
      <c r="F134">
        <f>Table3[[#This Row],[User]]+Table3[[#This Row],[Sys]]</f>
        <v>96.82</v>
      </c>
    </row>
    <row r="135" spans="1:6" x14ac:dyDescent="0.2">
      <c r="A135" t="s">
        <v>21</v>
      </c>
      <c r="B135" t="s">
        <v>19</v>
      </c>
      <c r="C135" t="s">
        <v>7</v>
      </c>
      <c r="D135">
        <v>18.68</v>
      </c>
      <c r="E135">
        <v>3.11</v>
      </c>
      <c r="F135">
        <f>Table3[[#This Row],[User]]+Table3[[#This Row],[Sys]]</f>
        <v>21.79</v>
      </c>
    </row>
    <row r="136" spans="1:6" x14ac:dyDescent="0.2">
      <c r="A136" t="s">
        <v>21</v>
      </c>
      <c r="B136" t="s">
        <v>19</v>
      </c>
      <c r="C136" t="s">
        <v>8</v>
      </c>
      <c r="D136">
        <v>28.29</v>
      </c>
      <c r="E136">
        <v>4.53</v>
      </c>
      <c r="F136">
        <f>Table3[[#This Row],[User]]+Table3[[#This Row],[Sys]]</f>
        <v>32.82</v>
      </c>
    </row>
    <row r="137" spans="1:6" x14ac:dyDescent="0.2">
      <c r="A137" t="s">
        <v>21</v>
      </c>
      <c r="B137" t="s">
        <v>19</v>
      </c>
      <c r="C137" t="s">
        <v>0</v>
      </c>
      <c r="D137">
        <v>77.739999999999995</v>
      </c>
      <c r="E137">
        <v>19.829999999999998</v>
      </c>
      <c r="F137">
        <f>Table3[[#This Row],[User]]+Table3[[#This Row],[Sys]]</f>
        <v>97.57</v>
      </c>
    </row>
    <row r="138" spans="1:6" x14ac:dyDescent="0.2">
      <c r="A138" t="s">
        <v>21</v>
      </c>
      <c r="B138" t="s">
        <v>19</v>
      </c>
      <c r="C138" t="s">
        <v>1</v>
      </c>
      <c r="D138">
        <v>57.45</v>
      </c>
      <c r="E138">
        <v>15.44</v>
      </c>
      <c r="F138">
        <f>Table3[[#This Row],[User]]+Table3[[#This Row],[Sys]]</f>
        <v>72.89</v>
      </c>
    </row>
    <row r="139" spans="1:6" x14ac:dyDescent="0.2">
      <c r="A139" t="s">
        <v>21</v>
      </c>
      <c r="B139" t="s">
        <v>19</v>
      </c>
      <c r="C139" t="s">
        <v>2</v>
      </c>
      <c r="D139">
        <v>2.2000000000000002</v>
      </c>
      <c r="E139">
        <v>0.51</v>
      </c>
      <c r="F139">
        <f>Table3[[#This Row],[User]]+Table3[[#This Row],[Sys]]</f>
        <v>2.71</v>
      </c>
    </row>
    <row r="140" spans="1:6" x14ac:dyDescent="0.2">
      <c r="A140" t="s">
        <v>21</v>
      </c>
      <c r="B140" t="s">
        <v>19</v>
      </c>
      <c r="C140" t="s">
        <v>3</v>
      </c>
      <c r="D140">
        <v>2.17</v>
      </c>
      <c r="E140">
        <v>0.44</v>
      </c>
      <c r="F140">
        <f>Table3[[#This Row],[User]]+Table3[[#This Row],[Sys]]</f>
        <v>2.61</v>
      </c>
    </row>
    <row r="141" spans="1:6" x14ac:dyDescent="0.2">
      <c r="A141" t="s">
        <v>21</v>
      </c>
      <c r="B141" t="s">
        <v>19</v>
      </c>
      <c r="C141" t="s">
        <v>4</v>
      </c>
      <c r="D141">
        <v>2.15</v>
      </c>
      <c r="E141">
        <v>0.46</v>
      </c>
      <c r="F141">
        <f>Table3[[#This Row],[User]]+Table3[[#This Row],[Sys]]</f>
        <v>2.61</v>
      </c>
    </row>
    <row r="142" spans="1:6" x14ac:dyDescent="0.2">
      <c r="A142" t="s">
        <v>21</v>
      </c>
      <c r="B142" t="s">
        <v>19</v>
      </c>
      <c r="C142" t="s">
        <v>5</v>
      </c>
      <c r="D142">
        <v>1.25</v>
      </c>
      <c r="E142">
        <v>0.28999999999999998</v>
      </c>
      <c r="F142">
        <f>Table3[[#This Row],[User]]+Table3[[#This Row],[Sys]]</f>
        <v>1.54</v>
      </c>
    </row>
    <row r="143" spans="1:6" x14ac:dyDescent="0.2">
      <c r="A143" t="s">
        <v>21</v>
      </c>
      <c r="B143" t="s">
        <v>19</v>
      </c>
      <c r="C143" t="s">
        <v>6</v>
      </c>
      <c r="D143">
        <v>83.72</v>
      </c>
      <c r="E143">
        <v>12.64</v>
      </c>
      <c r="F143">
        <f>Table3[[#This Row],[User]]+Table3[[#This Row],[Sys]]</f>
        <v>96.36</v>
      </c>
    </row>
    <row r="144" spans="1:6" x14ac:dyDescent="0.2">
      <c r="A144" t="s">
        <v>21</v>
      </c>
      <c r="B144" t="s">
        <v>19</v>
      </c>
      <c r="C144" t="s">
        <v>7</v>
      </c>
      <c r="D144">
        <v>18.579999999999998</v>
      </c>
      <c r="E144">
        <v>3.13</v>
      </c>
      <c r="F144">
        <f>Table3[[#This Row],[User]]+Table3[[#This Row],[Sys]]</f>
        <v>21.709999999999997</v>
      </c>
    </row>
    <row r="145" spans="1:6" x14ac:dyDescent="0.2">
      <c r="A145" t="s">
        <v>21</v>
      </c>
      <c r="B145" t="s">
        <v>19</v>
      </c>
      <c r="C145" t="s">
        <v>8</v>
      </c>
      <c r="D145">
        <v>28.48</v>
      </c>
      <c r="E145">
        <v>4.47</v>
      </c>
      <c r="F145">
        <f>Table3[[#This Row],[User]]+Table3[[#This Row],[Sys]]</f>
        <v>32.950000000000003</v>
      </c>
    </row>
    <row r="146" spans="1:6" x14ac:dyDescent="0.2">
      <c r="A146" t="s">
        <v>21</v>
      </c>
      <c r="B146" t="s">
        <v>19</v>
      </c>
      <c r="C146" t="s">
        <v>0</v>
      </c>
      <c r="D146">
        <v>78.06</v>
      </c>
      <c r="E146">
        <v>19.399999999999999</v>
      </c>
      <c r="F146">
        <f>Table3[[#This Row],[User]]+Table3[[#This Row],[Sys]]</f>
        <v>97.460000000000008</v>
      </c>
    </row>
    <row r="147" spans="1:6" x14ac:dyDescent="0.2">
      <c r="A147" t="s">
        <v>21</v>
      </c>
      <c r="B147" t="s">
        <v>19</v>
      </c>
      <c r="C147" t="s">
        <v>1</v>
      </c>
      <c r="D147">
        <v>57.8</v>
      </c>
      <c r="E147">
        <v>15.36</v>
      </c>
      <c r="F147">
        <f>Table3[[#This Row],[User]]+Table3[[#This Row],[Sys]]</f>
        <v>73.16</v>
      </c>
    </row>
    <row r="148" spans="1:6" x14ac:dyDescent="0.2">
      <c r="A148" t="s">
        <v>21</v>
      </c>
      <c r="B148" t="s">
        <v>19</v>
      </c>
      <c r="C148" t="s">
        <v>2</v>
      </c>
      <c r="D148">
        <v>2.1</v>
      </c>
      <c r="E148">
        <v>0.49</v>
      </c>
      <c r="F148">
        <f>Table3[[#This Row],[User]]+Table3[[#This Row],[Sys]]</f>
        <v>2.59</v>
      </c>
    </row>
    <row r="149" spans="1:6" x14ac:dyDescent="0.2">
      <c r="A149" t="s">
        <v>21</v>
      </c>
      <c r="B149" t="s">
        <v>19</v>
      </c>
      <c r="C149" t="s">
        <v>3</v>
      </c>
      <c r="D149">
        <v>2.16</v>
      </c>
      <c r="E149">
        <v>0.45</v>
      </c>
      <c r="F149">
        <f>Table3[[#This Row],[User]]+Table3[[#This Row],[Sys]]</f>
        <v>2.6100000000000003</v>
      </c>
    </row>
    <row r="150" spans="1:6" x14ac:dyDescent="0.2">
      <c r="A150" t="s">
        <v>21</v>
      </c>
      <c r="B150" t="s">
        <v>19</v>
      </c>
      <c r="C150" t="s">
        <v>4</v>
      </c>
      <c r="D150">
        <v>2.11</v>
      </c>
      <c r="E150">
        <v>0.43</v>
      </c>
      <c r="F150">
        <f>Table3[[#This Row],[User]]+Table3[[#This Row],[Sys]]</f>
        <v>2.54</v>
      </c>
    </row>
    <row r="151" spans="1:6" x14ac:dyDescent="0.2">
      <c r="A151" t="s">
        <v>21</v>
      </c>
      <c r="B151" t="s">
        <v>19</v>
      </c>
      <c r="C151" t="s">
        <v>5</v>
      </c>
      <c r="D151">
        <v>1.27</v>
      </c>
      <c r="E151">
        <v>0.27</v>
      </c>
      <c r="F151">
        <f>Table3[[#This Row],[User]]+Table3[[#This Row],[Sys]]</f>
        <v>1.54</v>
      </c>
    </row>
    <row r="152" spans="1:6" x14ac:dyDescent="0.2">
      <c r="A152" t="s">
        <v>21</v>
      </c>
      <c r="B152" t="s">
        <v>19</v>
      </c>
      <c r="C152" t="s">
        <v>6</v>
      </c>
      <c r="D152">
        <v>83.92</v>
      </c>
      <c r="E152">
        <v>12.76</v>
      </c>
      <c r="F152">
        <f>Table3[[#This Row],[User]]+Table3[[#This Row],[Sys]]</f>
        <v>96.68</v>
      </c>
    </row>
    <row r="153" spans="1:6" x14ac:dyDescent="0.2">
      <c r="A153" t="s">
        <v>21</v>
      </c>
      <c r="B153" t="s">
        <v>19</v>
      </c>
      <c r="C153" t="s">
        <v>7</v>
      </c>
      <c r="D153">
        <v>19.37</v>
      </c>
      <c r="E153">
        <v>3.09</v>
      </c>
      <c r="F153">
        <f>Table3[[#This Row],[User]]+Table3[[#This Row],[Sys]]</f>
        <v>22.46</v>
      </c>
    </row>
    <row r="154" spans="1:6" x14ac:dyDescent="0.2">
      <c r="A154" t="s">
        <v>21</v>
      </c>
      <c r="B154" t="s">
        <v>19</v>
      </c>
      <c r="C154" t="s">
        <v>8</v>
      </c>
      <c r="D154">
        <v>27.14</v>
      </c>
      <c r="E154">
        <v>4.17</v>
      </c>
      <c r="F154">
        <f>Table3[[#This Row],[User]]+Table3[[#This Row],[Sys]]</f>
        <v>31.310000000000002</v>
      </c>
    </row>
    <row r="155" spans="1:6" x14ac:dyDescent="0.2">
      <c r="A155" t="s">
        <v>21</v>
      </c>
      <c r="B155" t="s">
        <v>19</v>
      </c>
      <c r="C155" t="s">
        <v>0</v>
      </c>
      <c r="D155">
        <v>77.97</v>
      </c>
      <c r="E155">
        <v>20.03</v>
      </c>
      <c r="F155">
        <f>Table3[[#This Row],[User]]+Table3[[#This Row],[Sys]]</f>
        <v>98</v>
      </c>
    </row>
    <row r="156" spans="1:6" x14ac:dyDescent="0.2">
      <c r="A156" t="s">
        <v>21</v>
      </c>
      <c r="B156" t="s">
        <v>19</v>
      </c>
      <c r="C156" t="s">
        <v>1</v>
      </c>
      <c r="D156">
        <v>59.83</v>
      </c>
      <c r="E156">
        <v>15.98</v>
      </c>
      <c r="F156">
        <f>Table3[[#This Row],[User]]+Table3[[#This Row],[Sys]]</f>
        <v>75.81</v>
      </c>
    </row>
    <row r="157" spans="1:6" x14ac:dyDescent="0.2">
      <c r="A157" t="s">
        <v>21</v>
      </c>
      <c r="B157" t="s">
        <v>19</v>
      </c>
      <c r="C157" t="s">
        <v>2</v>
      </c>
      <c r="D157">
        <v>2.1</v>
      </c>
      <c r="E157">
        <v>0.5</v>
      </c>
      <c r="F157">
        <f>Table3[[#This Row],[User]]+Table3[[#This Row],[Sys]]</f>
        <v>2.6</v>
      </c>
    </row>
    <row r="158" spans="1:6" x14ac:dyDescent="0.2">
      <c r="A158" t="s">
        <v>21</v>
      </c>
      <c r="B158" t="s">
        <v>19</v>
      </c>
      <c r="C158" t="s">
        <v>3</v>
      </c>
      <c r="D158">
        <v>2.12</v>
      </c>
      <c r="E158">
        <v>0.44</v>
      </c>
      <c r="F158">
        <f>Table3[[#This Row],[User]]+Table3[[#This Row],[Sys]]</f>
        <v>2.56</v>
      </c>
    </row>
    <row r="159" spans="1:6" x14ac:dyDescent="0.2">
      <c r="A159" t="s">
        <v>21</v>
      </c>
      <c r="B159" t="s">
        <v>19</v>
      </c>
      <c r="C159" t="s">
        <v>4</v>
      </c>
      <c r="D159">
        <v>2.15</v>
      </c>
      <c r="E159">
        <v>0.46</v>
      </c>
      <c r="F159">
        <f>Table3[[#This Row],[User]]+Table3[[#This Row],[Sys]]</f>
        <v>2.61</v>
      </c>
    </row>
    <row r="160" spans="1:6" x14ac:dyDescent="0.2">
      <c r="A160" t="s">
        <v>21</v>
      </c>
      <c r="B160" t="s">
        <v>19</v>
      </c>
      <c r="C160" t="s">
        <v>5</v>
      </c>
      <c r="D160">
        <v>1.3</v>
      </c>
      <c r="E160">
        <v>0.3</v>
      </c>
      <c r="F160">
        <f>Table3[[#This Row],[User]]+Table3[[#This Row],[Sys]]</f>
        <v>1.6</v>
      </c>
    </row>
    <row r="161" spans="1:6" x14ac:dyDescent="0.2">
      <c r="A161" t="s">
        <v>21</v>
      </c>
      <c r="B161" t="s">
        <v>19</v>
      </c>
      <c r="C161" t="s">
        <v>6</v>
      </c>
      <c r="D161">
        <v>83.26</v>
      </c>
      <c r="E161">
        <v>12.47</v>
      </c>
      <c r="F161">
        <f>Table3[[#This Row],[User]]+Table3[[#This Row],[Sys]]</f>
        <v>95.73</v>
      </c>
    </row>
    <row r="162" spans="1:6" x14ac:dyDescent="0.2">
      <c r="A162" t="s">
        <v>21</v>
      </c>
      <c r="B162" t="s">
        <v>19</v>
      </c>
      <c r="C162" t="s">
        <v>7</v>
      </c>
      <c r="D162">
        <v>19.309999999999999</v>
      </c>
      <c r="E162">
        <v>3.14</v>
      </c>
      <c r="F162">
        <f>Table3[[#This Row],[User]]+Table3[[#This Row],[Sys]]</f>
        <v>22.45</v>
      </c>
    </row>
    <row r="163" spans="1:6" x14ac:dyDescent="0.2">
      <c r="A163" t="s">
        <v>21</v>
      </c>
      <c r="B163" t="s">
        <v>19</v>
      </c>
      <c r="C163" t="s">
        <v>8</v>
      </c>
      <c r="D163">
        <v>27.43</v>
      </c>
      <c r="E163">
        <v>4.43</v>
      </c>
      <c r="F163">
        <f>Table3[[#This Row],[User]]+Table3[[#This Row],[Sys]]</f>
        <v>31.86</v>
      </c>
    </row>
    <row r="164" spans="1:6" x14ac:dyDescent="0.2">
      <c r="A164" t="s">
        <v>21</v>
      </c>
      <c r="B164" t="s">
        <v>20</v>
      </c>
      <c r="C164" t="s">
        <v>0</v>
      </c>
      <c r="D164">
        <v>54.46</v>
      </c>
      <c r="E164">
        <v>11.12</v>
      </c>
      <c r="F164">
        <f>Table3[[#This Row],[User]]+Table3[[#This Row],[Sys]]</f>
        <v>65.58</v>
      </c>
    </row>
    <row r="165" spans="1:6" x14ac:dyDescent="0.2">
      <c r="A165" t="s">
        <v>21</v>
      </c>
      <c r="B165" t="s">
        <v>20</v>
      </c>
      <c r="C165" t="s">
        <v>1</v>
      </c>
      <c r="D165">
        <v>44.51</v>
      </c>
      <c r="E165">
        <v>9.24</v>
      </c>
      <c r="F165">
        <f>Table3[[#This Row],[User]]+Table3[[#This Row],[Sys]]</f>
        <v>53.75</v>
      </c>
    </row>
    <row r="166" spans="1:6" x14ac:dyDescent="0.2">
      <c r="A166" t="s">
        <v>21</v>
      </c>
      <c r="B166" t="s">
        <v>20</v>
      </c>
      <c r="C166" t="s">
        <v>2</v>
      </c>
      <c r="D166">
        <v>1.74</v>
      </c>
      <c r="E166">
        <v>0.38</v>
      </c>
      <c r="F166">
        <f>Table3[[#This Row],[User]]+Table3[[#This Row],[Sys]]</f>
        <v>2.12</v>
      </c>
    </row>
    <row r="167" spans="1:6" x14ac:dyDescent="0.2">
      <c r="A167" t="s">
        <v>21</v>
      </c>
      <c r="B167" t="s">
        <v>20</v>
      </c>
      <c r="C167" t="s">
        <v>3</v>
      </c>
      <c r="D167">
        <v>1.88</v>
      </c>
      <c r="E167">
        <v>0.35</v>
      </c>
      <c r="F167">
        <f>Table3[[#This Row],[User]]+Table3[[#This Row],[Sys]]</f>
        <v>2.23</v>
      </c>
    </row>
    <row r="168" spans="1:6" x14ac:dyDescent="0.2">
      <c r="A168" t="s">
        <v>21</v>
      </c>
      <c r="B168" t="s">
        <v>20</v>
      </c>
      <c r="C168" t="s">
        <v>4</v>
      </c>
      <c r="D168">
        <v>2.0699999999999998</v>
      </c>
      <c r="E168">
        <v>0.44</v>
      </c>
      <c r="F168">
        <f>Table3[[#This Row],[User]]+Table3[[#This Row],[Sys]]</f>
        <v>2.5099999999999998</v>
      </c>
    </row>
    <row r="169" spans="1:6" x14ac:dyDescent="0.2">
      <c r="A169" t="s">
        <v>21</v>
      </c>
      <c r="B169" t="s">
        <v>20</v>
      </c>
      <c r="C169" t="s">
        <v>5</v>
      </c>
      <c r="D169">
        <v>1.27</v>
      </c>
      <c r="E169">
        <v>0.28999999999999998</v>
      </c>
      <c r="F169">
        <f>Table3[[#This Row],[User]]+Table3[[#This Row],[Sys]]</f>
        <v>1.56</v>
      </c>
    </row>
    <row r="170" spans="1:6" x14ac:dyDescent="0.2">
      <c r="A170" t="s">
        <v>21</v>
      </c>
      <c r="B170" t="s">
        <v>20</v>
      </c>
      <c r="C170" t="s">
        <v>6</v>
      </c>
      <c r="D170">
        <v>85.97</v>
      </c>
      <c r="E170">
        <v>13.1</v>
      </c>
      <c r="F170">
        <f>Table3[[#This Row],[User]]+Table3[[#This Row],[Sys]]</f>
        <v>99.07</v>
      </c>
    </row>
    <row r="171" spans="1:6" x14ac:dyDescent="0.2">
      <c r="A171" t="s">
        <v>21</v>
      </c>
      <c r="B171" t="s">
        <v>20</v>
      </c>
      <c r="C171" t="s">
        <v>7</v>
      </c>
      <c r="D171">
        <v>17.670000000000002</v>
      </c>
      <c r="E171">
        <v>2.92</v>
      </c>
      <c r="F171">
        <f>Table3[[#This Row],[User]]+Table3[[#This Row],[Sys]]</f>
        <v>20.590000000000003</v>
      </c>
    </row>
    <row r="172" spans="1:6" x14ac:dyDescent="0.2">
      <c r="A172" t="s">
        <v>21</v>
      </c>
      <c r="B172" t="s">
        <v>20</v>
      </c>
      <c r="C172" t="s">
        <v>8</v>
      </c>
      <c r="D172">
        <v>30.9</v>
      </c>
      <c r="E172">
        <v>4.78</v>
      </c>
      <c r="F172">
        <f>Table3[[#This Row],[User]]+Table3[[#This Row],[Sys]]</f>
        <v>35.68</v>
      </c>
    </row>
    <row r="173" spans="1:6" x14ac:dyDescent="0.2">
      <c r="A173" t="s">
        <v>21</v>
      </c>
      <c r="B173" t="s">
        <v>20</v>
      </c>
      <c r="C173" t="s">
        <v>0</v>
      </c>
      <c r="D173">
        <v>55.8</v>
      </c>
      <c r="E173">
        <v>11.37</v>
      </c>
      <c r="F173">
        <f>Table3[[#This Row],[User]]+Table3[[#This Row],[Sys]]</f>
        <v>67.17</v>
      </c>
    </row>
    <row r="174" spans="1:6" x14ac:dyDescent="0.2">
      <c r="A174" t="s">
        <v>21</v>
      </c>
      <c r="B174" t="s">
        <v>20</v>
      </c>
      <c r="C174" t="s">
        <v>1</v>
      </c>
      <c r="D174">
        <v>44.79</v>
      </c>
      <c r="E174">
        <v>9.11</v>
      </c>
      <c r="F174">
        <f>Table3[[#This Row],[User]]+Table3[[#This Row],[Sys]]</f>
        <v>53.9</v>
      </c>
    </row>
    <row r="175" spans="1:6" x14ac:dyDescent="0.2">
      <c r="A175" t="s">
        <v>21</v>
      </c>
      <c r="B175" t="s">
        <v>20</v>
      </c>
      <c r="C175" t="s">
        <v>2</v>
      </c>
      <c r="D175">
        <v>1.75</v>
      </c>
      <c r="E175">
        <v>0.36</v>
      </c>
      <c r="F175">
        <f>Table3[[#This Row],[User]]+Table3[[#This Row],[Sys]]</f>
        <v>2.11</v>
      </c>
    </row>
    <row r="176" spans="1:6" x14ac:dyDescent="0.2">
      <c r="A176" t="s">
        <v>21</v>
      </c>
      <c r="B176" t="s">
        <v>20</v>
      </c>
      <c r="C176" t="s">
        <v>3</v>
      </c>
      <c r="D176">
        <v>1.77</v>
      </c>
      <c r="E176">
        <v>0.32</v>
      </c>
      <c r="F176">
        <f>Table3[[#This Row],[User]]+Table3[[#This Row],[Sys]]</f>
        <v>2.09</v>
      </c>
    </row>
    <row r="177" spans="1:6" x14ac:dyDescent="0.2">
      <c r="A177" t="s">
        <v>21</v>
      </c>
      <c r="B177" t="s">
        <v>20</v>
      </c>
      <c r="C177" t="s">
        <v>4</v>
      </c>
      <c r="D177">
        <v>2.09</v>
      </c>
      <c r="E177">
        <v>0.43</v>
      </c>
      <c r="F177">
        <f>Table3[[#This Row],[User]]+Table3[[#This Row],[Sys]]</f>
        <v>2.52</v>
      </c>
    </row>
    <row r="178" spans="1:6" x14ac:dyDescent="0.2">
      <c r="A178" t="s">
        <v>21</v>
      </c>
      <c r="B178" t="s">
        <v>20</v>
      </c>
      <c r="C178" t="s">
        <v>5</v>
      </c>
      <c r="D178">
        <v>1.23</v>
      </c>
      <c r="E178">
        <v>0.26</v>
      </c>
      <c r="F178">
        <f>Table3[[#This Row],[User]]+Table3[[#This Row],[Sys]]</f>
        <v>1.49</v>
      </c>
    </row>
    <row r="179" spans="1:6" x14ac:dyDescent="0.2">
      <c r="A179" t="s">
        <v>21</v>
      </c>
      <c r="B179" t="s">
        <v>20</v>
      </c>
      <c r="C179" t="s">
        <v>6</v>
      </c>
      <c r="D179">
        <v>84.71</v>
      </c>
      <c r="E179">
        <v>12.44</v>
      </c>
      <c r="F179">
        <f>Table3[[#This Row],[User]]+Table3[[#This Row],[Sys]]</f>
        <v>97.149999999999991</v>
      </c>
    </row>
    <row r="180" spans="1:6" x14ac:dyDescent="0.2">
      <c r="A180" t="s">
        <v>21</v>
      </c>
      <c r="B180" t="s">
        <v>20</v>
      </c>
      <c r="C180" t="s">
        <v>7</v>
      </c>
      <c r="D180">
        <v>18.600000000000001</v>
      </c>
      <c r="E180">
        <v>2.93</v>
      </c>
      <c r="F180">
        <f>Table3[[#This Row],[User]]+Table3[[#This Row],[Sys]]</f>
        <v>21.53</v>
      </c>
    </row>
    <row r="181" spans="1:6" x14ac:dyDescent="0.2">
      <c r="A181" t="s">
        <v>21</v>
      </c>
      <c r="B181" t="s">
        <v>20</v>
      </c>
      <c r="C181" t="s">
        <v>8</v>
      </c>
      <c r="D181">
        <v>28.92</v>
      </c>
      <c r="E181">
        <v>4.2300000000000004</v>
      </c>
      <c r="F181">
        <f>Table3[[#This Row],[User]]+Table3[[#This Row],[Sys]]</f>
        <v>33.150000000000006</v>
      </c>
    </row>
    <row r="182" spans="1:6" x14ac:dyDescent="0.2">
      <c r="A182" t="s">
        <v>21</v>
      </c>
      <c r="B182" t="s">
        <v>20</v>
      </c>
      <c r="C182" t="s">
        <v>0</v>
      </c>
      <c r="D182">
        <v>54.98</v>
      </c>
      <c r="E182">
        <v>10.79</v>
      </c>
      <c r="F182">
        <f>Table3[[#This Row],[User]]+Table3[[#This Row],[Sys]]</f>
        <v>65.77</v>
      </c>
    </row>
    <row r="183" spans="1:6" x14ac:dyDescent="0.2">
      <c r="A183" t="s">
        <v>21</v>
      </c>
      <c r="B183" t="s">
        <v>20</v>
      </c>
      <c r="C183" t="s">
        <v>1</v>
      </c>
      <c r="D183">
        <v>44.9</v>
      </c>
      <c r="E183">
        <v>9.09</v>
      </c>
      <c r="F183">
        <f>Table3[[#This Row],[User]]+Table3[[#This Row],[Sys]]</f>
        <v>53.989999999999995</v>
      </c>
    </row>
    <row r="184" spans="1:6" x14ac:dyDescent="0.2">
      <c r="A184" t="s">
        <v>21</v>
      </c>
      <c r="B184" t="s">
        <v>20</v>
      </c>
      <c r="C184" t="s">
        <v>2</v>
      </c>
      <c r="D184">
        <v>1.74</v>
      </c>
      <c r="E184">
        <v>0.37</v>
      </c>
      <c r="F184">
        <f>Table3[[#This Row],[User]]+Table3[[#This Row],[Sys]]</f>
        <v>2.11</v>
      </c>
    </row>
    <row r="185" spans="1:6" x14ac:dyDescent="0.2">
      <c r="A185" t="s">
        <v>21</v>
      </c>
      <c r="B185" t="s">
        <v>20</v>
      </c>
      <c r="C185" t="s">
        <v>3</v>
      </c>
      <c r="D185">
        <v>1.75</v>
      </c>
      <c r="E185">
        <v>0.33</v>
      </c>
      <c r="F185">
        <f>Table3[[#This Row],[User]]+Table3[[#This Row],[Sys]]</f>
        <v>2.08</v>
      </c>
    </row>
    <row r="186" spans="1:6" x14ac:dyDescent="0.2">
      <c r="A186" t="s">
        <v>21</v>
      </c>
      <c r="B186" t="s">
        <v>20</v>
      </c>
      <c r="C186" t="s">
        <v>4</v>
      </c>
      <c r="D186">
        <v>2.1</v>
      </c>
      <c r="E186">
        <v>0.42</v>
      </c>
      <c r="F186">
        <f>Table3[[#This Row],[User]]+Table3[[#This Row],[Sys]]</f>
        <v>2.52</v>
      </c>
    </row>
    <row r="187" spans="1:6" x14ac:dyDescent="0.2">
      <c r="A187" t="s">
        <v>21</v>
      </c>
      <c r="B187" t="s">
        <v>20</v>
      </c>
      <c r="C187" t="s">
        <v>5</v>
      </c>
      <c r="D187">
        <v>1.26</v>
      </c>
      <c r="E187">
        <v>0.25</v>
      </c>
      <c r="F187">
        <f>Table3[[#This Row],[User]]+Table3[[#This Row],[Sys]]</f>
        <v>1.51</v>
      </c>
    </row>
    <row r="188" spans="1:6" x14ac:dyDescent="0.2">
      <c r="A188" t="s">
        <v>21</v>
      </c>
      <c r="B188" t="s">
        <v>20</v>
      </c>
      <c r="C188" t="s">
        <v>6</v>
      </c>
      <c r="D188">
        <v>84.32</v>
      </c>
      <c r="E188">
        <v>12.29</v>
      </c>
      <c r="F188">
        <f>Table3[[#This Row],[User]]+Table3[[#This Row],[Sys]]</f>
        <v>96.609999999999985</v>
      </c>
    </row>
    <row r="189" spans="1:6" x14ac:dyDescent="0.2">
      <c r="A189" t="s">
        <v>21</v>
      </c>
      <c r="B189" t="s">
        <v>20</v>
      </c>
      <c r="C189" t="s">
        <v>7</v>
      </c>
      <c r="D189">
        <v>17.48</v>
      </c>
      <c r="E189">
        <v>2.86</v>
      </c>
      <c r="F189">
        <f>Table3[[#This Row],[User]]+Table3[[#This Row],[Sys]]</f>
        <v>20.34</v>
      </c>
    </row>
    <row r="190" spans="1:6" x14ac:dyDescent="0.2">
      <c r="A190" t="s">
        <v>21</v>
      </c>
      <c r="B190" t="s">
        <v>20</v>
      </c>
      <c r="C190" t="s">
        <v>8</v>
      </c>
      <c r="D190">
        <v>29.61</v>
      </c>
      <c r="E190">
        <v>4.42</v>
      </c>
      <c r="F190">
        <f>Table3[[#This Row],[User]]+Table3[[#This Row],[Sys]]</f>
        <v>34.03</v>
      </c>
    </row>
    <row r="191" spans="1:6" x14ac:dyDescent="0.2">
      <c r="A191" t="s">
        <v>21</v>
      </c>
      <c r="B191" t="s">
        <v>20</v>
      </c>
      <c r="C191" t="s">
        <v>0</v>
      </c>
      <c r="D191">
        <v>57.86</v>
      </c>
      <c r="E191">
        <v>11.33</v>
      </c>
      <c r="F191">
        <f>Table3[[#This Row],[User]]+Table3[[#This Row],[Sys]]</f>
        <v>69.19</v>
      </c>
    </row>
    <row r="192" spans="1:6" x14ac:dyDescent="0.2">
      <c r="A192" t="s">
        <v>21</v>
      </c>
      <c r="B192" t="s">
        <v>20</v>
      </c>
      <c r="C192" t="s">
        <v>1</v>
      </c>
      <c r="D192">
        <v>45.07</v>
      </c>
      <c r="E192">
        <v>9.2799999999999994</v>
      </c>
      <c r="F192">
        <f>Table3[[#This Row],[User]]+Table3[[#This Row],[Sys]]</f>
        <v>54.35</v>
      </c>
    </row>
    <row r="193" spans="1:6" x14ac:dyDescent="0.2">
      <c r="A193" t="s">
        <v>21</v>
      </c>
      <c r="B193" t="s">
        <v>20</v>
      </c>
      <c r="C193" t="s">
        <v>2</v>
      </c>
      <c r="D193">
        <v>1.78</v>
      </c>
      <c r="E193">
        <v>0.39</v>
      </c>
      <c r="F193">
        <f>Table3[[#This Row],[User]]+Table3[[#This Row],[Sys]]</f>
        <v>2.17</v>
      </c>
    </row>
    <row r="194" spans="1:6" x14ac:dyDescent="0.2">
      <c r="A194" t="s">
        <v>21</v>
      </c>
      <c r="B194" t="s">
        <v>20</v>
      </c>
      <c r="C194" t="s">
        <v>3</v>
      </c>
      <c r="D194">
        <v>1.85</v>
      </c>
      <c r="E194">
        <v>0.35</v>
      </c>
      <c r="F194">
        <f>Table3[[#This Row],[User]]+Table3[[#This Row],[Sys]]</f>
        <v>2.2000000000000002</v>
      </c>
    </row>
    <row r="195" spans="1:6" x14ac:dyDescent="0.2">
      <c r="A195" t="s">
        <v>21</v>
      </c>
      <c r="B195" t="s">
        <v>20</v>
      </c>
      <c r="C195" t="s">
        <v>4</v>
      </c>
      <c r="D195">
        <v>2.17</v>
      </c>
      <c r="E195">
        <v>0.46</v>
      </c>
      <c r="F195">
        <f>Table3[[#This Row],[User]]+Table3[[#This Row],[Sys]]</f>
        <v>2.63</v>
      </c>
    </row>
    <row r="196" spans="1:6" x14ac:dyDescent="0.2">
      <c r="A196" t="s">
        <v>21</v>
      </c>
      <c r="B196" t="s">
        <v>20</v>
      </c>
      <c r="C196" t="s">
        <v>5</v>
      </c>
      <c r="D196">
        <v>1.35</v>
      </c>
      <c r="E196">
        <v>0.28000000000000003</v>
      </c>
      <c r="F196">
        <f>Table3[[#This Row],[User]]+Table3[[#This Row],[Sys]]</f>
        <v>1.6300000000000001</v>
      </c>
    </row>
    <row r="197" spans="1:6" x14ac:dyDescent="0.2">
      <c r="A197" t="s">
        <v>21</v>
      </c>
      <c r="B197" t="s">
        <v>20</v>
      </c>
      <c r="C197" t="s">
        <v>6</v>
      </c>
      <c r="D197">
        <v>84.96</v>
      </c>
      <c r="E197">
        <v>12.51</v>
      </c>
      <c r="F197">
        <f>Table3[[#This Row],[User]]+Table3[[#This Row],[Sys]]</f>
        <v>97.47</v>
      </c>
    </row>
    <row r="198" spans="1:6" x14ac:dyDescent="0.2">
      <c r="A198" t="s">
        <v>21</v>
      </c>
      <c r="B198" t="s">
        <v>20</v>
      </c>
      <c r="C198" t="s">
        <v>7</v>
      </c>
      <c r="D198">
        <v>18.45</v>
      </c>
      <c r="E198">
        <v>2.8</v>
      </c>
      <c r="F198">
        <f>Table3[[#This Row],[User]]+Table3[[#This Row],[Sys]]</f>
        <v>21.25</v>
      </c>
    </row>
    <row r="199" spans="1:6" x14ac:dyDescent="0.2">
      <c r="A199" t="s">
        <v>21</v>
      </c>
      <c r="B199" t="s">
        <v>20</v>
      </c>
      <c r="C199" t="s">
        <v>8</v>
      </c>
      <c r="D199">
        <v>28.71</v>
      </c>
      <c r="E199">
        <v>4.3899999999999997</v>
      </c>
      <c r="F199">
        <f>Table3[[#This Row],[User]]+Table3[[#This Row],[Sys]]</f>
        <v>33.1</v>
      </c>
    </row>
    <row r="200" spans="1:6" x14ac:dyDescent="0.2">
      <c r="A200" t="s">
        <v>21</v>
      </c>
      <c r="B200" t="s">
        <v>20</v>
      </c>
      <c r="C200" t="s">
        <v>0</v>
      </c>
      <c r="D200">
        <v>55.34</v>
      </c>
      <c r="E200">
        <v>10.76</v>
      </c>
      <c r="F200">
        <f>Table3[[#This Row],[User]]+Table3[[#This Row],[Sys]]</f>
        <v>66.100000000000009</v>
      </c>
    </row>
    <row r="201" spans="1:6" x14ac:dyDescent="0.2">
      <c r="A201" t="s">
        <v>21</v>
      </c>
      <c r="B201" t="s">
        <v>20</v>
      </c>
      <c r="C201" t="s">
        <v>1</v>
      </c>
      <c r="D201">
        <v>45.41</v>
      </c>
      <c r="E201">
        <v>9.3699999999999992</v>
      </c>
      <c r="F201">
        <f>Table3[[#This Row],[User]]+Table3[[#This Row],[Sys]]</f>
        <v>54.779999999999994</v>
      </c>
    </row>
    <row r="202" spans="1:6" x14ac:dyDescent="0.2">
      <c r="A202" t="s">
        <v>21</v>
      </c>
      <c r="B202" t="s">
        <v>20</v>
      </c>
      <c r="C202" t="s">
        <v>2</v>
      </c>
      <c r="D202">
        <v>1.76</v>
      </c>
      <c r="E202">
        <v>0.37</v>
      </c>
      <c r="F202">
        <f>Table3[[#This Row],[User]]+Table3[[#This Row],[Sys]]</f>
        <v>2.13</v>
      </c>
    </row>
    <row r="203" spans="1:6" x14ac:dyDescent="0.2">
      <c r="A203" t="s">
        <v>21</v>
      </c>
      <c r="B203" t="s">
        <v>20</v>
      </c>
      <c r="C203" t="s">
        <v>3</v>
      </c>
      <c r="D203">
        <v>1.86</v>
      </c>
      <c r="E203">
        <v>0.35</v>
      </c>
      <c r="F203">
        <f>Table3[[#This Row],[User]]+Table3[[#This Row],[Sys]]</f>
        <v>2.21</v>
      </c>
    </row>
    <row r="204" spans="1:6" x14ac:dyDescent="0.2">
      <c r="A204" t="s">
        <v>21</v>
      </c>
      <c r="B204" t="s">
        <v>20</v>
      </c>
      <c r="C204" t="s">
        <v>4</v>
      </c>
      <c r="D204">
        <v>2.1</v>
      </c>
      <c r="E204">
        <v>0.41</v>
      </c>
      <c r="F204">
        <f>Table3[[#This Row],[User]]+Table3[[#This Row],[Sys]]</f>
        <v>2.5100000000000002</v>
      </c>
    </row>
    <row r="205" spans="1:6" x14ac:dyDescent="0.2">
      <c r="A205" t="s">
        <v>21</v>
      </c>
      <c r="B205" t="s">
        <v>20</v>
      </c>
      <c r="C205" t="s">
        <v>5</v>
      </c>
      <c r="D205">
        <v>1.27</v>
      </c>
      <c r="E205">
        <v>0.26</v>
      </c>
      <c r="F205">
        <f>Table3[[#This Row],[User]]+Table3[[#This Row],[Sys]]</f>
        <v>1.53</v>
      </c>
    </row>
    <row r="206" spans="1:6" x14ac:dyDescent="0.2">
      <c r="A206" t="s">
        <v>21</v>
      </c>
      <c r="B206" t="s">
        <v>20</v>
      </c>
      <c r="C206" t="s">
        <v>6</v>
      </c>
      <c r="D206">
        <v>87.99</v>
      </c>
      <c r="E206">
        <v>13</v>
      </c>
      <c r="F206">
        <f>Table3[[#This Row],[User]]+Table3[[#This Row],[Sys]]</f>
        <v>100.99</v>
      </c>
    </row>
    <row r="207" spans="1:6" x14ac:dyDescent="0.2">
      <c r="A207" t="s">
        <v>21</v>
      </c>
      <c r="B207" t="s">
        <v>20</v>
      </c>
      <c r="C207" t="s">
        <v>7</v>
      </c>
      <c r="D207">
        <v>17.91</v>
      </c>
      <c r="E207">
        <v>3.07</v>
      </c>
      <c r="F207">
        <f>Table3[[#This Row],[User]]+Table3[[#This Row],[Sys]]</f>
        <v>20.98</v>
      </c>
    </row>
    <row r="208" spans="1:6" x14ac:dyDescent="0.2">
      <c r="A208" t="s">
        <v>21</v>
      </c>
      <c r="B208" t="s">
        <v>20</v>
      </c>
      <c r="C208" t="s">
        <v>8</v>
      </c>
      <c r="D208">
        <v>29.46</v>
      </c>
      <c r="E208">
        <v>4.74</v>
      </c>
      <c r="F208">
        <f>Table3[[#This Row],[User]]+Table3[[#This Row],[Sys]]</f>
        <v>34.200000000000003</v>
      </c>
    </row>
    <row r="209" spans="1:6" x14ac:dyDescent="0.2">
      <c r="A209" t="s">
        <v>21</v>
      </c>
      <c r="B209" t="s">
        <v>20</v>
      </c>
      <c r="C209" t="s">
        <v>0</v>
      </c>
      <c r="D209">
        <v>55.79</v>
      </c>
      <c r="E209">
        <v>11.33</v>
      </c>
      <c r="F209">
        <f>Table3[[#This Row],[User]]+Table3[[#This Row],[Sys]]</f>
        <v>67.12</v>
      </c>
    </row>
    <row r="210" spans="1:6" x14ac:dyDescent="0.2">
      <c r="A210" t="s">
        <v>21</v>
      </c>
      <c r="B210" t="s">
        <v>20</v>
      </c>
      <c r="C210" t="s">
        <v>1</v>
      </c>
      <c r="D210">
        <v>45.65</v>
      </c>
      <c r="E210">
        <v>9.52</v>
      </c>
      <c r="F210">
        <f>Table3[[#This Row],[User]]+Table3[[#This Row],[Sys]]</f>
        <v>55.17</v>
      </c>
    </row>
    <row r="211" spans="1:6" x14ac:dyDescent="0.2">
      <c r="A211" t="s">
        <v>21</v>
      </c>
      <c r="B211" t="s">
        <v>20</v>
      </c>
      <c r="C211" t="s">
        <v>2</v>
      </c>
      <c r="D211">
        <v>1.79</v>
      </c>
      <c r="E211">
        <v>0.38</v>
      </c>
      <c r="F211">
        <f>Table3[[#This Row],[User]]+Table3[[#This Row],[Sys]]</f>
        <v>2.17</v>
      </c>
    </row>
    <row r="212" spans="1:6" x14ac:dyDescent="0.2">
      <c r="A212" t="s">
        <v>21</v>
      </c>
      <c r="B212" t="s">
        <v>20</v>
      </c>
      <c r="C212" t="s">
        <v>3</v>
      </c>
      <c r="D212">
        <v>1.87</v>
      </c>
      <c r="E212">
        <v>0.35</v>
      </c>
      <c r="F212">
        <f>Table3[[#This Row],[User]]+Table3[[#This Row],[Sys]]</f>
        <v>2.2200000000000002</v>
      </c>
    </row>
    <row r="213" spans="1:6" x14ac:dyDescent="0.2">
      <c r="A213" t="s">
        <v>21</v>
      </c>
      <c r="B213" t="s">
        <v>20</v>
      </c>
      <c r="C213" t="s">
        <v>4</v>
      </c>
      <c r="D213">
        <v>2.14</v>
      </c>
      <c r="E213">
        <v>0.46</v>
      </c>
      <c r="F213">
        <f>Table3[[#This Row],[User]]+Table3[[#This Row],[Sys]]</f>
        <v>2.6</v>
      </c>
    </row>
    <row r="214" spans="1:6" x14ac:dyDescent="0.2">
      <c r="A214" t="s">
        <v>21</v>
      </c>
      <c r="B214" t="s">
        <v>20</v>
      </c>
      <c r="C214" t="s">
        <v>5</v>
      </c>
      <c r="D214">
        <v>1.25</v>
      </c>
      <c r="E214">
        <v>0.28999999999999998</v>
      </c>
      <c r="F214">
        <f>Table3[[#This Row],[User]]+Table3[[#This Row],[Sys]]</f>
        <v>1.54</v>
      </c>
    </row>
    <row r="215" spans="1:6" x14ac:dyDescent="0.2">
      <c r="A215" t="s">
        <v>21</v>
      </c>
      <c r="B215" t="s">
        <v>20</v>
      </c>
      <c r="C215" t="s">
        <v>6</v>
      </c>
      <c r="D215">
        <v>85.28</v>
      </c>
      <c r="E215">
        <v>12.95</v>
      </c>
      <c r="F215">
        <f>Table3[[#This Row],[User]]+Table3[[#This Row],[Sys]]</f>
        <v>98.23</v>
      </c>
    </row>
    <row r="216" spans="1:6" x14ac:dyDescent="0.2">
      <c r="A216" t="s">
        <v>21</v>
      </c>
      <c r="B216" t="s">
        <v>20</v>
      </c>
      <c r="C216" t="s">
        <v>7</v>
      </c>
      <c r="D216">
        <v>17.79</v>
      </c>
      <c r="E216">
        <v>3.04</v>
      </c>
      <c r="F216">
        <f>Table3[[#This Row],[User]]+Table3[[#This Row],[Sys]]</f>
        <v>20.83</v>
      </c>
    </row>
    <row r="217" spans="1:6" x14ac:dyDescent="0.2">
      <c r="A217" t="s">
        <v>21</v>
      </c>
      <c r="B217" t="s">
        <v>20</v>
      </c>
      <c r="C217" t="s">
        <v>8</v>
      </c>
      <c r="D217">
        <v>29.26</v>
      </c>
      <c r="E217">
        <v>4.8099999999999996</v>
      </c>
      <c r="F217">
        <f>Table3[[#This Row],[User]]+Table3[[#This Row],[Sys]]</f>
        <v>34.07</v>
      </c>
    </row>
    <row r="218" spans="1:6" x14ac:dyDescent="0.2">
      <c r="A218" t="s">
        <v>18</v>
      </c>
      <c r="B218" t="s">
        <v>20</v>
      </c>
      <c r="C218" t="s">
        <v>22</v>
      </c>
      <c r="D218">
        <v>0.21</v>
      </c>
      <c r="E218">
        <v>0.11</v>
      </c>
      <c r="F218">
        <f>Table3[[#This Row],[User]]+Table3[[#This Row],[Sys]]</f>
        <v>0.32</v>
      </c>
    </row>
    <row r="219" spans="1:6" x14ac:dyDescent="0.2">
      <c r="A219" t="s">
        <v>18</v>
      </c>
      <c r="B219" t="s">
        <v>20</v>
      </c>
      <c r="C219" t="s">
        <v>23</v>
      </c>
      <c r="D219">
        <v>0.21</v>
      </c>
      <c r="E219">
        <v>0.11</v>
      </c>
      <c r="F219">
        <f>Table3[[#This Row],[User]]+Table3[[#This Row],[Sys]]</f>
        <v>0.32</v>
      </c>
    </row>
    <row r="220" spans="1:6" x14ac:dyDescent="0.2">
      <c r="A220" t="s">
        <v>18</v>
      </c>
      <c r="B220" t="s">
        <v>20</v>
      </c>
      <c r="C220" t="s">
        <v>24</v>
      </c>
      <c r="D220">
        <v>4.3099999999999996</v>
      </c>
      <c r="E220">
        <v>0.42</v>
      </c>
      <c r="F220">
        <f>Table3[[#This Row],[User]]+Table3[[#This Row],[Sys]]</f>
        <v>4.7299999999999995</v>
      </c>
    </row>
    <row r="221" spans="1:6" x14ac:dyDescent="0.2">
      <c r="A221" t="s">
        <v>18</v>
      </c>
      <c r="B221" t="s">
        <v>20</v>
      </c>
      <c r="C221" t="s">
        <v>25</v>
      </c>
      <c r="D221">
        <v>0.2</v>
      </c>
      <c r="E221">
        <v>0.08</v>
      </c>
      <c r="F221">
        <f>Table3[[#This Row],[User]]+Table3[[#This Row],[Sys]]</f>
        <v>0.28000000000000003</v>
      </c>
    </row>
    <row r="222" spans="1:6" x14ac:dyDescent="0.2">
      <c r="A222" t="s">
        <v>18</v>
      </c>
      <c r="B222" t="s">
        <v>20</v>
      </c>
      <c r="C222" t="s">
        <v>26</v>
      </c>
      <c r="D222">
        <v>0.09</v>
      </c>
      <c r="E222">
        <v>0.04</v>
      </c>
      <c r="F222">
        <f>Table3[[#This Row],[User]]+Table3[[#This Row],[Sys]]</f>
        <v>0.13</v>
      </c>
    </row>
    <row r="223" spans="1:6" x14ac:dyDescent="0.2">
      <c r="A223" t="s">
        <v>18</v>
      </c>
      <c r="B223" t="s">
        <v>20</v>
      </c>
      <c r="C223" t="s">
        <v>27</v>
      </c>
      <c r="D223">
        <v>0.09</v>
      </c>
      <c r="E223">
        <v>0.04</v>
      </c>
      <c r="F223">
        <f>Table3[[#This Row],[User]]+Table3[[#This Row],[Sys]]</f>
        <v>0.13</v>
      </c>
    </row>
    <row r="224" spans="1:6" x14ac:dyDescent="0.2">
      <c r="A224" t="s">
        <v>18</v>
      </c>
      <c r="B224" t="s">
        <v>20</v>
      </c>
      <c r="C224" t="s">
        <v>28</v>
      </c>
      <c r="D224">
        <v>0.06</v>
      </c>
      <c r="E224">
        <v>0.03</v>
      </c>
      <c r="F224">
        <f>Table3[[#This Row],[User]]+Table3[[#This Row],[Sys]]</f>
        <v>0.09</v>
      </c>
    </row>
    <row r="225" spans="1:6" x14ac:dyDescent="0.2">
      <c r="A225" t="s">
        <v>18</v>
      </c>
      <c r="B225" t="s">
        <v>20</v>
      </c>
      <c r="C225" t="s">
        <v>29</v>
      </c>
      <c r="D225">
        <v>7.0000000000000007E-2</v>
      </c>
      <c r="E225">
        <v>0.03</v>
      </c>
      <c r="F225">
        <f>Table3[[#This Row],[User]]+Table3[[#This Row],[Sys]]</f>
        <v>0.1</v>
      </c>
    </row>
    <row r="226" spans="1:6" x14ac:dyDescent="0.2">
      <c r="A226" t="s">
        <v>18</v>
      </c>
      <c r="B226" t="s">
        <v>20</v>
      </c>
      <c r="C226" t="s">
        <v>30</v>
      </c>
      <c r="D226">
        <v>0.23</v>
      </c>
      <c r="E226">
        <v>0.11</v>
      </c>
      <c r="F226">
        <f>Table3[[#This Row],[User]]+Table3[[#This Row],[Sys]]</f>
        <v>0.34</v>
      </c>
    </row>
    <row r="227" spans="1:6" x14ac:dyDescent="0.2">
      <c r="A227" t="s">
        <v>18</v>
      </c>
      <c r="B227" t="s">
        <v>20</v>
      </c>
      <c r="C227" t="s">
        <v>31</v>
      </c>
      <c r="D227">
        <v>0.23</v>
      </c>
      <c r="E227">
        <v>0.15</v>
      </c>
      <c r="F227">
        <f>Table3[[#This Row],[User]]+Table3[[#This Row],[Sys]]</f>
        <v>0.38</v>
      </c>
    </row>
    <row r="228" spans="1:6" x14ac:dyDescent="0.2">
      <c r="A228" t="s">
        <v>18</v>
      </c>
      <c r="B228" t="s">
        <v>20</v>
      </c>
      <c r="C228" t="s">
        <v>22</v>
      </c>
      <c r="D228">
        <v>0.2</v>
      </c>
      <c r="E228">
        <v>0.1</v>
      </c>
      <c r="F228">
        <f>Table3[[#This Row],[User]]+Table3[[#This Row],[Sys]]</f>
        <v>0.30000000000000004</v>
      </c>
    </row>
    <row r="229" spans="1:6" x14ac:dyDescent="0.2">
      <c r="A229" t="s">
        <v>18</v>
      </c>
      <c r="B229" t="s">
        <v>20</v>
      </c>
      <c r="C229" t="s">
        <v>23</v>
      </c>
      <c r="D229">
        <v>0.2</v>
      </c>
      <c r="E229">
        <v>0.09</v>
      </c>
      <c r="F229">
        <f>Table3[[#This Row],[User]]+Table3[[#This Row],[Sys]]</f>
        <v>0.29000000000000004</v>
      </c>
    </row>
    <row r="230" spans="1:6" x14ac:dyDescent="0.2">
      <c r="A230" t="s">
        <v>18</v>
      </c>
      <c r="B230" t="s">
        <v>20</v>
      </c>
      <c r="C230" t="s">
        <v>24</v>
      </c>
      <c r="D230">
        <v>4.28</v>
      </c>
      <c r="E230">
        <v>0.38</v>
      </c>
      <c r="F230">
        <f>Table3[[#This Row],[User]]+Table3[[#This Row],[Sys]]</f>
        <v>4.66</v>
      </c>
    </row>
    <row r="231" spans="1:6" x14ac:dyDescent="0.2">
      <c r="A231" t="s">
        <v>18</v>
      </c>
      <c r="B231" t="s">
        <v>20</v>
      </c>
      <c r="C231" t="s">
        <v>25</v>
      </c>
      <c r="D231">
        <v>0.2</v>
      </c>
      <c r="E231">
        <v>0.08</v>
      </c>
      <c r="F231">
        <f>Table3[[#This Row],[User]]+Table3[[#This Row],[Sys]]</f>
        <v>0.28000000000000003</v>
      </c>
    </row>
    <row r="232" spans="1:6" x14ac:dyDescent="0.2">
      <c r="A232" t="s">
        <v>18</v>
      </c>
      <c r="B232" t="s">
        <v>20</v>
      </c>
      <c r="C232" t="s">
        <v>26</v>
      </c>
      <c r="D232">
        <v>0.09</v>
      </c>
      <c r="E232">
        <v>0.05</v>
      </c>
      <c r="F232">
        <f>Table3[[#This Row],[User]]+Table3[[#This Row],[Sys]]</f>
        <v>0.14000000000000001</v>
      </c>
    </row>
    <row r="233" spans="1:6" x14ac:dyDescent="0.2">
      <c r="A233" t="s">
        <v>18</v>
      </c>
      <c r="B233" t="s">
        <v>20</v>
      </c>
      <c r="C233" t="s">
        <v>27</v>
      </c>
      <c r="D233">
        <v>0.09</v>
      </c>
      <c r="E233">
        <v>0.05</v>
      </c>
      <c r="F233">
        <f>Table3[[#This Row],[User]]+Table3[[#This Row],[Sys]]</f>
        <v>0.14000000000000001</v>
      </c>
    </row>
    <row r="234" spans="1:6" x14ac:dyDescent="0.2">
      <c r="A234" t="s">
        <v>18</v>
      </c>
      <c r="B234" t="s">
        <v>20</v>
      </c>
      <c r="C234" t="s">
        <v>28</v>
      </c>
      <c r="D234">
        <v>0.06</v>
      </c>
      <c r="E234">
        <v>0.03</v>
      </c>
      <c r="F234">
        <f>Table3[[#This Row],[User]]+Table3[[#This Row],[Sys]]</f>
        <v>0.09</v>
      </c>
    </row>
    <row r="235" spans="1:6" x14ac:dyDescent="0.2">
      <c r="A235" t="s">
        <v>18</v>
      </c>
      <c r="B235" t="s">
        <v>20</v>
      </c>
      <c r="C235" t="s">
        <v>29</v>
      </c>
      <c r="D235">
        <v>7.0000000000000007E-2</v>
      </c>
      <c r="E235">
        <v>0.03</v>
      </c>
      <c r="F235">
        <f>Table3[[#This Row],[User]]+Table3[[#This Row],[Sys]]</f>
        <v>0.1</v>
      </c>
    </row>
    <row r="236" spans="1:6" x14ac:dyDescent="0.2">
      <c r="A236" t="s">
        <v>18</v>
      </c>
      <c r="B236" t="s">
        <v>20</v>
      </c>
      <c r="C236" t="s">
        <v>30</v>
      </c>
      <c r="D236">
        <v>0.23</v>
      </c>
      <c r="E236">
        <v>0.14000000000000001</v>
      </c>
      <c r="F236">
        <f>Table3[[#This Row],[User]]+Table3[[#This Row],[Sys]]</f>
        <v>0.37</v>
      </c>
    </row>
    <row r="237" spans="1:6" x14ac:dyDescent="0.2">
      <c r="A237" t="s">
        <v>18</v>
      </c>
      <c r="B237" t="s">
        <v>20</v>
      </c>
      <c r="C237" t="s">
        <v>31</v>
      </c>
      <c r="D237">
        <v>0.23</v>
      </c>
      <c r="E237">
        <v>0.14000000000000001</v>
      </c>
      <c r="F237">
        <f>Table3[[#This Row],[User]]+Table3[[#This Row],[Sys]]</f>
        <v>0.37</v>
      </c>
    </row>
    <row r="238" spans="1:6" x14ac:dyDescent="0.2">
      <c r="A238" t="s">
        <v>18</v>
      </c>
      <c r="B238" t="s">
        <v>20</v>
      </c>
      <c r="C238" t="s">
        <v>22</v>
      </c>
      <c r="D238">
        <v>0.2</v>
      </c>
      <c r="E238">
        <v>0.1</v>
      </c>
      <c r="F238">
        <f>Table3[[#This Row],[User]]+Table3[[#This Row],[Sys]]</f>
        <v>0.30000000000000004</v>
      </c>
    </row>
    <row r="239" spans="1:6" x14ac:dyDescent="0.2">
      <c r="A239" t="s">
        <v>18</v>
      </c>
      <c r="B239" t="s">
        <v>20</v>
      </c>
      <c r="C239" t="s">
        <v>23</v>
      </c>
      <c r="D239">
        <v>0.2</v>
      </c>
      <c r="E239">
        <v>0.1</v>
      </c>
      <c r="F239">
        <f>Table3[[#This Row],[User]]+Table3[[#This Row],[Sys]]</f>
        <v>0.30000000000000004</v>
      </c>
    </row>
    <row r="240" spans="1:6" x14ac:dyDescent="0.2">
      <c r="A240" t="s">
        <v>18</v>
      </c>
      <c r="B240" t="s">
        <v>20</v>
      </c>
      <c r="C240" t="s">
        <v>24</v>
      </c>
      <c r="D240">
        <v>4.26</v>
      </c>
      <c r="E240">
        <v>0.42</v>
      </c>
      <c r="F240">
        <f>Table3[[#This Row],[User]]+Table3[[#This Row],[Sys]]</f>
        <v>4.68</v>
      </c>
    </row>
    <row r="241" spans="1:6" x14ac:dyDescent="0.2">
      <c r="A241" t="s">
        <v>18</v>
      </c>
      <c r="B241" t="s">
        <v>20</v>
      </c>
      <c r="C241" t="s">
        <v>25</v>
      </c>
      <c r="D241">
        <v>4.34</v>
      </c>
      <c r="E241">
        <v>0.43</v>
      </c>
      <c r="F241">
        <f>Table3[[#This Row],[User]]+Table3[[#This Row],[Sys]]</f>
        <v>4.7699999999999996</v>
      </c>
    </row>
    <row r="242" spans="1:6" x14ac:dyDescent="0.2">
      <c r="A242" t="s">
        <v>18</v>
      </c>
      <c r="B242" t="s">
        <v>20</v>
      </c>
      <c r="C242" t="s">
        <v>26</v>
      </c>
      <c r="D242">
        <v>0.09</v>
      </c>
      <c r="E242">
        <v>0.05</v>
      </c>
      <c r="F242">
        <f>Table3[[#This Row],[User]]+Table3[[#This Row],[Sys]]</f>
        <v>0.14000000000000001</v>
      </c>
    </row>
    <row r="243" spans="1:6" x14ac:dyDescent="0.2">
      <c r="A243" t="s">
        <v>18</v>
      </c>
      <c r="B243" t="s">
        <v>20</v>
      </c>
      <c r="C243" t="s">
        <v>27</v>
      </c>
      <c r="D243">
        <v>0.09</v>
      </c>
      <c r="E243">
        <v>0.05</v>
      </c>
      <c r="F243">
        <f>Table3[[#This Row],[User]]+Table3[[#This Row],[Sys]]</f>
        <v>0.14000000000000001</v>
      </c>
    </row>
    <row r="244" spans="1:6" x14ac:dyDescent="0.2">
      <c r="A244" t="s">
        <v>18</v>
      </c>
      <c r="B244" t="s">
        <v>20</v>
      </c>
      <c r="C244" t="s">
        <v>28</v>
      </c>
      <c r="D244">
        <v>7.0000000000000007E-2</v>
      </c>
      <c r="E244">
        <v>0.03</v>
      </c>
      <c r="F244">
        <f>Table3[[#This Row],[User]]+Table3[[#This Row],[Sys]]</f>
        <v>0.1</v>
      </c>
    </row>
    <row r="245" spans="1:6" x14ac:dyDescent="0.2">
      <c r="A245" t="s">
        <v>18</v>
      </c>
      <c r="B245" t="s">
        <v>20</v>
      </c>
      <c r="C245" t="s">
        <v>29</v>
      </c>
      <c r="D245">
        <v>7.0000000000000007E-2</v>
      </c>
      <c r="E245">
        <v>0.03</v>
      </c>
      <c r="F245">
        <f>Table3[[#This Row],[User]]+Table3[[#This Row],[Sys]]</f>
        <v>0.1</v>
      </c>
    </row>
    <row r="246" spans="1:6" x14ac:dyDescent="0.2">
      <c r="A246" t="s">
        <v>18</v>
      </c>
      <c r="B246" t="s">
        <v>20</v>
      </c>
      <c r="C246" t="s">
        <v>30</v>
      </c>
      <c r="D246">
        <v>0.23</v>
      </c>
      <c r="E246">
        <v>0.14000000000000001</v>
      </c>
      <c r="F246">
        <f>Table3[[#This Row],[User]]+Table3[[#This Row],[Sys]]</f>
        <v>0.37</v>
      </c>
    </row>
    <row r="247" spans="1:6" x14ac:dyDescent="0.2">
      <c r="A247" t="s">
        <v>18</v>
      </c>
      <c r="B247" t="s">
        <v>20</v>
      </c>
      <c r="C247" t="s">
        <v>31</v>
      </c>
      <c r="D247">
        <v>0.24</v>
      </c>
      <c r="E247">
        <v>0.14000000000000001</v>
      </c>
      <c r="F247">
        <f>Table3[[#This Row],[User]]+Table3[[#This Row],[Sys]]</f>
        <v>0.38</v>
      </c>
    </row>
    <row r="248" spans="1:6" x14ac:dyDescent="0.2">
      <c r="A248" t="s">
        <v>18</v>
      </c>
      <c r="B248" t="s">
        <v>20</v>
      </c>
      <c r="C248" t="s">
        <v>22</v>
      </c>
      <c r="D248">
        <v>0.2</v>
      </c>
      <c r="E248">
        <v>0.1</v>
      </c>
      <c r="F248">
        <f>Table3[[#This Row],[User]]+Table3[[#This Row],[Sys]]</f>
        <v>0.30000000000000004</v>
      </c>
    </row>
    <row r="249" spans="1:6" x14ac:dyDescent="0.2">
      <c r="A249" t="s">
        <v>18</v>
      </c>
      <c r="B249" t="s">
        <v>20</v>
      </c>
      <c r="C249" t="s">
        <v>23</v>
      </c>
      <c r="D249">
        <v>0.2</v>
      </c>
      <c r="E249">
        <v>0.1</v>
      </c>
      <c r="F249">
        <f>Table3[[#This Row],[User]]+Table3[[#This Row],[Sys]]</f>
        <v>0.30000000000000004</v>
      </c>
    </row>
    <row r="250" spans="1:6" x14ac:dyDescent="0.2">
      <c r="A250" t="s">
        <v>18</v>
      </c>
      <c r="B250" t="s">
        <v>20</v>
      </c>
      <c r="C250" t="s">
        <v>24</v>
      </c>
      <c r="D250">
        <v>4.26</v>
      </c>
      <c r="E250">
        <v>0.4</v>
      </c>
      <c r="F250">
        <f>Table3[[#This Row],[User]]+Table3[[#This Row],[Sys]]</f>
        <v>4.66</v>
      </c>
    </row>
    <row r="251" spans="1:6" x14ac:dyDescent="0.2">
      <c r="A251" t="s">
        <v>18</v>
      </c>
      <c r="B251" t="s">
        <v>20</v>
      </c>
      <c r="C251" t="s">
        <v>25</v>
      </c>
      <c r="D251">
        <v>4.28</v>
      </c>
      <c r="E251">
        <v>0.41</v>
      </c>
      <c r="F251">
        <f>Table3[[#This Row],[User]]+Table3[[#This Row],[Sys]]</f>
        <v>4.6900000000000004</v>
      </c>
    </row>
    <row r="252" spans="1:6" x14ac:dyDescent="0.2">
      <c r="A252" t="s">
        <v>18</v>
      </c>
      <c r="B252" t="s">
        <v>20</v>
      </c>
      <c r="C252" t="s">
        <v>26</v>
      </c>
      <c r="D252">
        <v>0.09</v>
      </c>
      <c r="E252">
        <v>0.05</v>
      </c>
      <c r="F252">
        <f>Table3[[#This Row],[User]]+Table3[[#This Row],[Sys]]</f>
        <v>0.14000000000000001</v>
      </c>
    </row>
    <row r="253" spans="1:6" x14ac:dyDescent="0.2">
      <c r="A253" t="s">
        <v>18</v>
      </c>
      <c r="B253" t="s">
        <v>20</v>
      </c>
      <c r="C253" t="s">
        <v>27</v>
      </c>
      <c r="D253">
        <v>0.09</v>
      </c>
      <c r="E253">
        <v>0.05</v>
      </c>
      <c r="F253">
        <f>Table3[[#This Row],[User]]+Table3[[#This Row],[Sys]]</f>
        <v>0.14000000000000001</v>
      </c>
    </row>
    <row r="254" spans="1:6" x14ac:dyDescent="0.2">
      <c r="A254" t="s">
        <v>18</v>
      </c>
      <c r="B254" t="s">
        <v>20</v>
      </c>
      <c r="C254" t="s">
        <v>28</v>
      </c>
      <c r="D254">
        <v>7.0000000000000007E-2</v>
      </c>
      <c r="E254">
        <v>0.03</v>
      </c>
      <c r="F254">
        <f>Table3[[#This Row],[User]]+Table3[[#This Row],[Sys]]</f>
        <v>0.1</v>
      </c>
    </row>
    <row r="255" spans="1:6" x14ac:dyDescent="0.2">
      <c r="A255" t="s">
        <v>18</v>
      </c>
      <c r="B255" t="s">
        <v>20</v>
      </c>
      <c r="C255" t="s">
        <v>29</v>
      </c>
      <c r="D255">
        <v>7.0000000000000007E-2</v>
      </c>
      <c r="E255">
        <v>0.03</v>
      </c>
      <c r="F255">
        <f>Table3[[#This Row],[User]]+Table3[[#This Row],[Sys]]</f>
        <v>0.1</v>
      </c>
    </row>
    <row r="256" spans="1:6" x14ac:dyDescent="0.2">
      <c r="A256" t="s">
        <v>18</v>
      </c>
      <c r="B256" t="s">
        <v>20</v>
      </c>
      <c r="C256" t="s">
        <v>30</v>
      </c>
      <c r="D256">
        <v>0.23</v>
      </c>
      <c r="E256">
        <v>0.14000000000000001</v>
      </c>
      <c r="F256">
        <f>Table3[[#This Row],[User]]+Table3[[#This Row],[Sys]]</f>
        <v>0.37</v>
      </c>
    </row>
    <row r="257" spans="1:6" x14ac:dyDescent="0.2">
      <c r="A257" t="s">
        <v>18</v>
      </c>
      <c r="B257" t="s">
        <v>20</v>
      </c>
      <c r="C257" t="s">
        <v>31</v>
      </c>
      <c r="D257">
        <v>0.23</v>
      </c>
      <c r="E257">
        <v>0.14000000000000001</v>
      </c>
      <c r="F257">
        <f>Table3[[#This Row],[User]]+Table3[[#This Row],[Sys]]</f>
        <v>0.37</v>
      </c>
    </row>
    <row r="258" spans="1:6" x14ac:dyDescent="0.2">
      <c r="A258" t="s">
        <v>18</v>
      </c>
      <c r="B258" t="s">
        <v>20</v>
      </c>
      <c r="C258" t="s">
        <v>22</v>
      </c>
      <c r="D258">
        <v>0.2</v>
      </c>
      <c r="E258">
        <v>0.1</v>
      </c>
      <c r="F258">
        <f>Table3[[#This Row],[User]]+Table3[[#This Row],[Sys]]</f>
        <v>0.30000000000000004</v>
      </c>
    </row>
    <row r="259" spans="1:6" x14ac:dyDescent="0.2">
      <c r="A259" t="s">
        <v>18</v>
      </c>
      <c r="B259" t="s">
        <v>20</v>
      </c>
      <c r="C259" t="s">
        <v>23</v>
      </c>
      <c r="D259">
        <v>0.2</v>
      </c>
      <c r="E259">
        <v>0.1</v>
      </c>
      <c r="F259">
        <f>Table3[[#This Row],[User]]+Table3[[#This Row],[Sys]]</f>
        <v>0.30000000000000004</v>
      </c>
    </row>
    <row r="260" spans="1:6" x14ac:dyDescent="0.2">
      <c r="A260" t="s">
        <v>18</v>
      </c>
      <c r="B260" t="s">
        <v>20</v>
      </c>
      <c r="C260" t="s">
        <v>24</v>
      </c>
      <c r="D260">
        <v>4.28</v>
      </c>
      <c r="E260">
        <v>0.42</v>
      </c>
      <c r="F260">
        <f>Table3[[#This Row],[User]]+Table3[[#This Row],[Sys]]</f>
        <v>4.7</v>
      </c>
    </row>
    <row r="261" spans="1:6" x14ac:dyDescent="0.2">
      <c r="A261" t="s">
        <v>18</v>
      </c>
      <c r="B261" t="s">
        <v>20</v>
      </c>
      <c r="C261" t="s">
        <v>25</v>
      </c>
      <c r="D261">
        <v>4.29</v>
      </c>
      <c r="E261">
        <v>0.42</v>
      </c>
      <c r="F261">
        <f>Table3[[#This Row],[User]]+Table3[[#This Row],[Sys]]</f>
        <v>4.71</v>
      </c>
    </row>
    <row r="262" spans="1:6" x14ac:dyDescent="0.2">
      <c r="A262" t="s">
        <v>18</v>
      </c>
      <c r="B262" t="s">
        <v>20</v>
      </c>
      <c r="C262" t="s">
        <v>26</v>
      </c>
      <c r="D262">
        <v>0.09</v>
      </c>
      <c r="E262">
        <v>0.04</v>
      </c>
      <c r="F262">
        <f>Table3[[#This Row],[User]]+Table3[[#This Row],[Sys]]</f>
        <v>0.13</v>
      </c>
    </row>
    <row r="263" spans="1:6" x14ac:dyDescent="0.2">
      <c r="A263" t="s">
        <v>18</v>
      </c>
      <c r="B263" t="s">
        <v>20</v>
      </c>
      <c r="C263" t="s">
        <v>27</v>
      </c>
      <c r="D263">
        <v>0.09</v>
      </c>
      <c r="E263">
        <v>0.04</v>
      </c>
      <c r="F263">
        <f>Table3[[#This Row],[User]]+Table3[[#This Row],[Sys]]</f>
        <v>0.13</v>
      </c>
    </row>
    <row r="264" spans="1:6" x14ac:dyDescent="0.2">
      <c r="A264" t="s">
        <v>18</v>
      </c>
      <c r="B264" t="s">
        <v>20</v>
      </c>
      <c r="C264" t="s">
        <v>28</v>
      </c>
      <c r="D264">
        <v>0.06</v>
      </c>
      <c r="E264">
        <v>0.03</v>
      </c>
      <c r="F264">
        <f>Table3[[#This Row],[User]]+Table3[[#This Row],[Sys]]</f>
        <v>0.09</v>
      </c>
    </row>
    <row r="265" spans="1:6" x14ac:dyDescent="0.2">
      <c r="A265" t="s">
        <v>18</v>
      </c>
      <c r="B265" t="s">
        <v>20</v>
      </c>
      <c r="C265" t="s">
        <v>29</v>
      </c>
      <c r="D265">
        <v>7.0000000000000007E-2</v>
      </c>
      <c r="E265">
        <v>0.03</v>
      </c>
      <c r="F265">
        <f>Table3[[#This Row],[User]]+Table3[[#This Row],[Sys]]</f>
        <v>0.1</v>
      </c>
    </row>
    <row r="266" spans="1:6" x14ac:dyDescent="0.2">
      <c r="A266" t="s">
        <v>18</v>
      </c>
      <c r="B266" t="s">
        <v>20</v>
      </c>
      <c r="C266" t="s">
        <v>30</v>
      </c>
      <c r="D266">
        <v>0.23</v>
      </c>
      <c r="E266">
        <v>0.14000000000000001</v>
      </c>
      <c r="F266">
        <f>Table3[[#This Row],[User]]+Table3[[#This Row],[Sys]]</f>
        <v>0.37</v>
      </c>
    </row>
    <row r="267" spans="1:6" x14ac:dyDescent="0.2">
      <c r="A267" t="s">
        <v>18</v>
      </c>
      <c r="B267" t="s">
        <v>20</v>
      </c>
      <c r="C267" t="s">
        <v>31</v>
      </c>
      <c r="D267">
        <v>0.23</v>
      </c>
      <c r="E267">
        <v>0.14000000000000001</v>
      </c>
      <c r="F267">
        <f>Table3[[#This Row],[User]]+Table3[[#This Row],[Sys]]</f>
        <v>0.37</v>
      </c>
    </row>
    <row r="268" spans="1:6" x14ac:dyDescent="0.2">
      <c r="A268" t="s">
        <v>18</v>
      </c>
      <c r="B268" t="s">
        <v>20</v>
      </c>
      <c r="C268" t="s">
        <v>22</v>
      </c>
      <c r="D268">
        <v>0.2</v>
      </c>
      <c r="E268">
        <v>0.1</v>
      </c>
      <c r="F268">
        <f>Table3[[#This Row],[User]]+Table3[[#This Row],[Sys]]</f>
        <v>0.30000000000000004</v>
      </c>
    </row>
    <row r="269" spans="1:6" x14ac:dyDescent="0.2">
      <c r="A269" t="s">
        <v>18</v>
      </c>
      <c r="B269" t="s">
        <v>20</v>
      </c>
      <c r="C269" t="s">
        <v>23</v>
      </c>
      <c r="D269">
        <v>0.2</v>
      </c>
      <c r="E269">
        <v>0.1</v>
      </c>
      <c r="F269">
        <f>Table3[[#This Row],[User]]+Table3[[#This Row],[Sys]]</f>
        <v>0.30000000000000004</v>
      </c>
    </row>
    <row r="270" spans="1:6" x14ac:dyDescent="0.2">
      <c r="A270" t="s">
        <v>18</v>
      </c>
      <c r="B270" t="s">
        <v>20</v>
      </c>
      <c r="C270" t="s">
        <v>24</v>
      </c>
      <c r="D270">
        <v>4.3</v>
      </c>
      <c r="E270">
        <v>0.43</v>
      </c>
      <c r="F270">
        <f>Table3[[#This Row],[User]]+Table3[[#This Row],[Sys]]</f>
        <v>4.7299999999999995</v>
      </c>
    </row>
    <row r="271" spans="1:6" x14ac:dyDescent="0.2">
      <c r="A271" t="s">
        <v>18</v>
      </c>
      <c r="B271" t="s">
        <v>20</v>
      </c>
      <c r="C271" t="s">
        <v>25</v>
      </c>
      <c r="D271">
        <v>4.26</v>
      </c>
      <c r="E271">
        <v>0.4</v>
      </c>
      <c r="F271">
        <f>Table3[[#This Row],[User]]+Table3[[#This Row],[Sys]]</f>
        <v>4.66</v>
      </c>
    </row>
    <row r="272" spans="1:6" x14ac:dyDescent="0.2">
      <c r="A272" t="s">
        <v>18</v>
      </c>
      <c r="B272" t="s">
        <v>20</v>
      </c>
      <c r="C272" t="s">
        <v>26</v>
      </c>
      <c r="D272">
        <v>0.09</v>
      </c>
      <c r="E272">
        <v>0.05</v>
      </c>
      <c r="F272">
        <f>Table3[[#This Row],[User]]+Table3[[#This Row],[Sys]]</f>
        <v>0.14000000000000001</v>
      </c>
    </row>
    <row r="273" spans="1:6" x14ac:dyDescent="0.2">
      <c r="A273" t="s">
        <v>18</v>
      </c>
      <c r="B273" t="s">
        <v>20</v>
      </c>
      <c r="C273" t="s">
        <v>27</v>
      </c>
      <c r="D273">
        <v>0.09</v>
      </c>
      <c r="E273">
        <v>0.05</v>
      </c>
      <c r="F273">
        <f>Table3[[#This Row],[User]]+Table3[[#This Row],[Sys]]</f>
        <v>0.14000000000000001</v>
      </c>
    </row>
    <row r="274" spans="1:6" x14ac:dyDescent="0.2">
      <c r="A274" t="s">
        <v>18</v>
      </c>
      <c r="B274" t="s">
        <v>20</v>
      </c>
      <c r="C274" t="s">
        <v>28</v>
      </c>
      <c r="D274">
        <v>0.06</v>
      </c>
      <c r="E274">
        <v>0.03</v>
      </c>
      <c r="F274">
        <f>Table3[[#This Row],[User]]+Table3[[#This Row],[Sys]]</f>
        <v>0.09</v>
      </c>
    </row>
    <row r="275" spans="1:6" x14ac:dyDescent="0.2">
      <c r="A275" t="s">
        <v>18</v>
      </c>
      <c r="B275" t="s">
        <v>20</v>
      </c>
      <c r="C275" t="s">
        <v>29</v>
      </c>
      <c r="D275">
        <v>7.0000000000000007E-2</v>
      </c>
      <c r="E275">
        <v>0.03</v>
      </c>
      <c r="F275">
        <f>Table3[[#This Row],[User]]+Table3[[#This Row],[Sys]]</f>
        <v>0.1</v>
      </c>
    </row>
    <row r="276" spans="1:6" x14ac:dyDescent="0.2">
      <c r="A276" t="s">
        <v>18</v>
      </c>
      <c r="B276" t="s">
        <v>20</v>
      </c>
      <c r="C276" t="s">
        <v>30</v>
      </c>
      <c r="D276">
        <v>0.23</v>
      </c>
      <c r="E276">
        <v>0.14000000000000001</v>
      </c>
      <c r="F276">
        <f>Table3[[#This Row],[User]]+Table3[[#This Row],[Sys]]</f>
        <v>0.37</v>
      </c>
    </row>
    <row r="277" spans="1:6" x14ac:dyDescent="0.2">
      <c r="A277" t="s">
        <v>18</v>
      </c>
      <c r="B277" t="s">
        <v>20</v>
      </c>
      <c r="C277" t="s">
        <v>31</v>
      </c>
      <c r="D277">
        <v>0.23</v>
      </c>
      <c r="E277">
        <v>0.14000000000000001</v>
      </c>
      <c r="F277">
        <f>Table3[[#This Row],[User]]+Table3[[#This Row],[Sys]]</f>
        <v>0.37</v>
      </c>
    </row>
    <row r="278" spans="1:6" x14ac:dyDescent="0.2">
      <c r="A278" t="s">
        <v>18</v>
      </c>
      <c r="B278" t="s">
        <v>19</v>
      </c>
      <c r="C278" t="s">
        <v>22</v>
      </c>
      <c r="D278">
        <v>0.34</v>
      </c>
      <c r="E278">
        <v>0.21</v>
      </c>
      <c r="F278">
        <f>Table3[[#This Row],[User]]+Table3[[#This Row],[Sys]]</f>
        <v>0.55000000000000004</v>
      </c>
    </row>
    <row r="279" spans="1:6" x14ac:dyDescent="0.2">
      <c r="A279" t="s">
        <v>18</v>
      </c>
      <c r="B279" t="s">
        <v>19</v>
      </c>
      <c r="C279" t="s">
        <v>23</v>
      </c>
      <c r="D279">
        <v>0.34</v>
      </c>
      <c r="E279">
        <v>0.17</v>
      </c>
      <c r="F279">
        <f>Table3[[#This Row],[User]]+Table3[[#This Row],[Sys]]</f>
        <v>0.51</v>
      </c>
    </row>
    <row r="280" spans="1:6" x14ac:dyDescent="0.2">
      <c r="A280" t="s">
        <v>18</v>
      </c>
      <c r="B280" t="s">
        <v>19</v>
      </c>
      <c r="C280" t="s">
        <v>24</v>
      </c>
      <c r="D280">
        <v>4.3600000000000003</v>
      </c>
      <c r="E280">
        <v>0.43</v>
      </c>
      <c r="F280">
        <f>Table3[[#This Row],[User]]+Table3[[#This Row],[Sys]]</f>
        <v>4.79</v>
      </c>
    </row>
    <row r="281" spans="1:6" x14ac:dyDescent="0.2">
      <c r="A281" t="s">
        <v>18</v>
      </c>
      <c r="B281" t="s">
        <v>19</v>
      </c>
      <c r="C281" t="s">
        <v>25</v>
      </c>
      <c r="D281">
        <v>0.2</v>
      </c>
      <c r="E281">
        <v>0.08</v>
      </c>
      <c r="F281">
        <f>Table3[[#This Row],[User]]+Table3[[#This Row],[Sys]]</f>
        <v>0.28000000000000003</v>
      </c>
    </row>
    <row r="282" spans="1:6" x14ac:dyDescent="0.2">
      <c r="A282" t="s">
        <v>18</v>
      </c>
      <c r="B282" t="s">
        <v>19</v>
      </c>
      <c r="C282" t="s">
        <v>26</v>
      </c>
      <c r="D282">
        <v>0.13</v>
      </c>
      <c r="E282">
        <v>7.0000000000000007E-2</v>
      </c>
      <c r="F282">
        <f>Table3[[#This Row],[User]]+Table3[[#This Row],[Sys]]</f>
        <v>0.2</v>
      </c>
    </row>
    <row r="283" spans="1:6" x14ac:dyDescent="0.2">
      <c r="A283" t="s">
        <v>18</v>
      </c>
      <c r="B283" t="s">
        <v>19</v>
      </c>
      <c r="C283" t="s">
        <v>27</v>
      </c>
      <c r="D283">
        <v>0.13</v>
      </c>
      <c r="E283">
        <v>7.0000000000000007E-2</v>
      </c>
      <c r="F283">
        <f>Table3[[#This Row],[User]]+Table3[[#This Row],[Sys]]</f>
        <v>0.2</v>
      </c>
    </row>
    <row r="284" spans="1:6" x14ac:dyDescent="0.2">
      <c r="A284" t="s">
        <v>18</v>
      </c>
      <c r="B284" t="s">
        <v>19</v>
      </c>
      <c r="C284" t="s">
        <v>28</v>
      </c>
      <c r="D284">
        <v>0.08</v>
      </c>
      <c r="E284">
        <v>0.04</v>
      </c>
      <c r="F284">
        <f>Table3[[#This Row],[User]]+Table3[[#This Row],[Sys]]</f>
        <v>0.12</v>
      </c>
    </row>
    <row r="285" spans="1:6" x14ac:dyDescent="0.2">
      <c r="A285" t="s">
        <v>18</v>
      </c>
      <c r="B285" t="s">
        <v>19</v>
      </c>
      <c r="C285" t="s">
        <v>29</v>
      </c>
      <c r="D285">
        <v>0.08</v>
      </c>
      <c r="E285">
        <v>0.04</v>
      </c>
      <c r="F285">
        <f>Table3[[#This Row],[User]]+Table3[[#This Row],[Sys]]</f>
        <v>0.12</v>
      </c>
    </row>
    <row r="286" spans="1:6" x14ac:dyDescent="0.2">
      <c r="A286" t="s">
        <v>18</v>
      </c>
      <c r="B286" t="s">
        <v>19</v>
      </c>
      <c r="C286" t="s">
        <v>30</v>
      </c>
      <c r="D286">
        <v>0.23</v>
      </c>
      <c r="E286">
        <v>0.15</v>
      </c>
      <c r="F286">
        <f>Table3[[#This Row],[User]]+Table3[[#This Row],[Sys]]</f>
        <v>0.38</v>
      </c>
    </row>
    <row r="287" spans="1:6" x14ac:dyDescent="0.2">
      <c r="A287" t="s">
        <v>18</v>
      </c>
      <c r="B287" t="s">
        <v>19</v>
      </c>
      <c r="C287" t="s">
        <v>31</v>
      </c>
      <c r="D287">
        <v>0.23</v>
      </c>
      <c r="E287">
        <v>0.14000000000000001</v>
      </c>
      <c r="F287">
        <f>Table3[[#This Row],[User]]+Table3[[#This Row],[Sys]]</f>
        <v>0.37</v>
      </c>
    </row>
    <row r="288" spans="1:6" x14ac:dyDescent="0.2">
      <c r="A288" t="s">
        <v>18</v>
      </c>
      <c r="B288" t="s">
        <v>19</v>
      </c>
      <c r="C288" t="s">
        <v>22</v>
      </c>
      <c r="D288">
        <v>0.35</v>
      </c>
      <c r="E288">
        <v>0.17</v>
      </c>
      <c r="F288">
        <f>Table3[[#This Row],[User]]+Table3[[#This Row],[Sys]]</f>
        <v>0.52</v>
      </c>
    </row>
    <row r="289" spans="1:6" x14ac:dyDescent="0.2">
      <c r="A289" t="s">
        <v>18</v>
      </c>
      <c r="B289" t="s">
        <v>19</v>
      </c>
      <c r="C289" t="s">
        <v>23</v>
      </c>
      <c r="D289">
        <v>0.35</v>
      </c>
      <c r="E289">
        <v>0.17</v>
      </c>
      <c r="F289">
        <f>Table3[[#This Row],[User]]+Table3[[#This Row],[Sys]]</f>
        <v>0.52</v>
      </c>
    </row>
    <row r="290" spans="1:6" x14ac:dyDescent="0.2">
      <c r="A290" t="s">
        <v>18</v>
      </c>
      <c r="B290" t="s">
        <v>19</v>
      </c>
      <c r="C290" t="s">
        <v>24</v>
      </c>
      <c r="D290">
        <v>0.19</v>
      </c>
      <c r="E290">
        <v>0.08</v>
      </c>
      <c r="F290">
        <f>Table3[[#This Row],[User]]+Table3[[#This Row],[Sys]]</f>
        <v>0.27</v>
      </c>
    </row>
    <row r="291" spans="1:6" x14ac:dyDescent="0.2">
      <c r="A291" t="s">
        <v>18</v>
      </c>
      <c r="B291" t="s">
        <v>19</v>
      </c>
      <c r="C291" t="s">
        <v>25</v>
      </c>
      <c r="D291">
        <v>4.3099999999999996</v>
      </c>
      <c r="E291">
        <v>0.42</v>
      </c>
      <c r="F291">
        <f>Table3[[#This Row],[User]]+Table3[[#This Row],[Sys]]</f>
        <v>4.7299999999999995</v>
      </c>
    </row>
    <row r="292" spans="1:6" x14ac:dyDescent="0.2">
      <c r="A292" t="s">
        <v>18</v>
      </c>
      <c r="B292" t="s">
        <v>19</v>
      </c>
      <c r="C292" t="s">
        <v>26</v>
      </c>
      <c r="D292">
        <v>0.12</v>
      </c>
      <c r="E292">
        <v>0.06</v>
      </c>
      <c r="F292">
        <f>Table3[[#This Row],[User]]+Table3[[#This Row],[Sys]]</f>
        <v>0.18</v>
      </c>
    </row>
    <row r="293" spans="1:6" x14ac:dyDescent="0.2">
      <c r="A293" t="s">
        <v>18</v>
      </c>
      <c r="B293" t="s">
        <v>19</v>
      </c>
      <c r="C293" t="s">
        <v>27</v>
      </c>
      <c r="D293">
        <v>0.12</v>
      </c>
      <c r="E293">
        <v>0.06</v>
      </c>
      <c r="F293">
        <f>Table3[[#This Row],[User]]+Table3[[#This Row],[Sys]]</f>
        <v>0.18</v>
      </c>
    </row>
    <row r="294" spans="1:6" x14ac:dyDescent="0.2">
      <c r="A294" t="s">
        <v>18</v>
      </c>
      <c r="B294" t="s">
        <v>19</v>
      </c>
      <c r="C294" t="s">
        <v>28</v>
      </c>
      <c r="D294">
        <v>0.08</v>
      </c>
      <c r="E294">
        <v>0.04</v>
      </c>
      <c r="F294">
        <f>Table3[[#This Row],[User]]+Table3[[#This Row],[Sys]]</f>
        <v>0.12</v>
      </c>
    </row>
    <row r="295" spans="1:6" x14ac:dyDescent="0.2">
      <c r="A295" t="s">
        <v>18</v>
      </c>
      <c r="B295" t="s">
        <v>19</v>
      </c>
      <c r="C295" t="s">
        <v>29</v>
      </c>
      <c r="D295">
        <v>0.08</v>
      </c>
      <c r="E295">
        <v>0.04</v>
      </c>
      <c r="F295">
        <f>Table3[[#This Row],[User]]+Table3[[#This Row],[Sys]]</f>
        <v>0.12</v>
      </c>
    </row>
    <row r="296" spans="1:6" x14ac:dyDescent="0.2">
      <c r="A296" t="s">
        <v>18</v>
      </c>
      <c r="B296" t="s">
        <v>19</v>
      </c>
      <c r="C296" t="s">
        <v>30</v>
      </c>
      <c r="D296">
        <v>0.23</v>
      </c>
      <c r="E296">
        <v>0.14000000000000001</v>
      </c>
      <c r="F296">
        <f>Table3[[#This Row],[User]]+Table3[[#This Row],[Sys]]</f>
        <v>0.37</v>
      </c>
    </row>
    <row r="297" spans="1:6" x14ac:dyDescent="0.2">
      <c r="A297" t="s">
        <v>18</v>
      </c>
      <c r="B297" t="s">
        <v>19</v>
      </c>
      <c r="C297" t="s">
        <v>31</v>
      </c>
      <c r="D297">
        <v>0.24</v>
      </c>
      <c r="E297">
        <v>0.14000000000000001</v>
      </c>
      <c r="F297">
        <f>Table3[[#This Row],[User]]+Table3[[#This Row],[Sys]]</f>
        <v>0.38</v>
      </c>
    </row>
    <row r="298" spans="1:6" x14ac:dyDescent="0.2">
      <c r="A298" t="s">
        <v>18</v>
      </c>
      <c r="B298" t="s">
        <v>19</v>
      </c>
      <c r="C298" t="s">
        <v>22</v>
      </c>
      <c r="D298">
        <v>0.35</v>
      </c>
      <c r="E298">
        <v>0.17</v>
      </c>
      <c r="F298">
        <f>Table3[[#This Row],[User]]+Table3[[#This Row],[Sys]]</f>
        <v>0.52</v>
      </c>
    </row>
    <row r="299" spans="1:6" x14ac:dyDescent="0.2">
      <c r="A299" t="s">
        <v>18</v>
      </c>
      <c r="B299" t="s">
        <v>19</v>
      </c>
      <c r="C299" t="s">
        <v>23</v>
      </c>
      <c r="D299">
        <v>0.33</v>
      </c>
      <c r="E299">
        <v>0.16</v>
      </c>
      <c r="F299">
        <f>Table3[[#This Row],[User]]+Table3[[#This Row],[Sys]]</f>
        <v>0.49</v>
      </c>
    </row>
    <row r="300" spans="1:6" x14ac:dyDescent="0.2">
      <c r="A300" t="s">
        <v>18</v>
      </c>
      <c r="B300" t="s">
        <v>19</v>
      </c>
      <c r="C300" t="s">
        <v>24</v>
      </c>
      <c r="D300">
        <v>0.19</v>
      </c>
      <c r="E300">
        <v>0.08</v>
      </c>
      <c r="F300">
        <f>Table3[[#This Row],[User]]+Table3[[#This Row],[Sys]]</f>
        <v>0.27</v>
      </c>
    </row>
    <row r="301" spans="1:6" x14ac:dyDescent="0.2">
      <c r="A301" t="s">
        <v>18</v>
      </c>
      <c r="B301" t="s">
        <v>19</v>
      </c>
      <c r="C301" t="s">
        <v>25</v>
      </c>
      <c r="D301">
        <v>4.21</v>
      </c>
      <c r="E301">
        <v>0.39</v>
      </c>
      <c r="F301">
        <f>Table3[[#This Row],[User]]+Table3[[#This Row],[Sys]]</f>
        <v>4.5999999999999996</v>
      </c>
    </row>
    <row r="302" spans="1:6" x14ac:dyDescent="0.2">
      <c r="A302" t="s">
        <v>18</v>
      </c>
      <c r="B302" t="s">
        <v>19</v>
      </c>
      <c r="C302" t="s">
        <v>26</v>
      </c>
      <c r="D302">
        <v>0.12</v>
      </c>
      <c r="E302">
        <v>0.06</v>
      </c>
      <c r="F302">
        <f>Table3[[#This Row],[User]]+Table3[[#This Row],[Sys]]</f>
        <v>0.18</v>
      </c>
    </row>
    <row r="303" spans="1:6" x14ac:dyDescent="0.2">
      <c r="A303" t="s">
        <v>18</v>
      </c>
      <c r="B303" t="s">
        <v>19</v>
      </c>
      <c r="C303" t="s">
        <v>27</v>
      </c>
      <c r="D303">
        <v>0.12</v>
      </c>
      <c r="E303">
        <v>0.06</v>
      </c>
      <c r="F303">
        <f>Table3[[#This Row],[User]]+Table3[[#This Row],[Sys]]</f>
        <v>0.18</v>
      </c>
    </row>
    <row r="304" spans="1:6" x14ac:dyDescent="0.2">
      <c r="A304" t="s">
        <v>18</v>
      </c>
      <c r="B304" t="s">
        <v>19</v>
      </c>
      <c r="C304" t="s">
        <v>28</v>
      </c>
      <c r="D304">
        <v>7.0000000000000007E-2</v>
      </c>
      <c r="E304">
        <v>0.04</v>
      </c>
      <c r="F304">
        <f>Table3[[#This Row],[User]]+Table3[[#This Row],[Sys]]</f>
        <v>0.11000000000000001</v>
      </c>
    </row>
    <row r="305" spans="1:6" x14ac:dyDescent="0.2">
      <c r="A305" t="s">
        <v>18</v>
      </c>
      <c r="B305" t="s">
        <v>19</v>
      </c>
      <c r="C305" t="s">
        <v>29</v>
      </c>
      <c r="D305">
        <v>0.08</v>
      </c>
      <c r="E305">
        <v>0.03</v>
      </c>
      <c r="F305">
        <f>Table3[[#This Row],[User]]+Table3[[#This Row],[Sys]]</f>
        <v>0.11</v>
      </c>
    </row>
    <row r="306" spans="1:6" x14ac:dyDescent="0.2">
      <c r="A306" t="s">
        <v>18</v>
      </c>
      <c r="B306" t="s">
        <v>19</v>
      </c>
      <c r="C306" t="s">
        <v>30</v>
      </c>
      <c r="D306">
        <v>0.23</v>
      </c>
      <c r="E306">
        <v>0.14000000000000001</v>
      </c>
      <c r="F306">
        <f>Table3[[#This Row],[User]]+Table3[[#This Row],[Sys]]</f>
        <v>0.37</v>
      </c>
    </row>
    <row r="307" spans="1:6" x14ac:dyDescent="0.2">
      <c r="A307" t="s">
        <v>18</v>
      </c>
      <c r="B307" t="s">
        <v>19</v>
      </c>
      <c r="C307" t="s">
        <v>31</v>
      </c>
      <c r="D307">
        <v>0.23</v>
      </c>
      <c r="E307">
        <v>0.14000000000000001</v>
      </c>
      <c r="F307">
        <f>Table3[[#This Row],[User]]+Table3[[#This Row],[Sys]]</f>
        <v>0.37</v>
      </c>
    </row>
    <row r="308" spans="1:6" x14ac:dyDescent="0.2">
      <c r="A308" t="s">
        <v>18</v>
      </c>
      <c r="B308" t="s">
        <v>19</v>
      </c>
      <c r="C308" t="s">
        <v>22</v>
      </c>
      <c r="D308">
        <v>0.34</v>
      </c>
      <c r="E308">
        <v>0.16</v>
      </c>
      <c r="F308">
        <f>Table3[[#This Row],[User]]+Table3[[#This Row],[Sys]]</f>
        <v>0.5</v>
      </c>
    </row>
    <row r="309" spans="1:6" x14ac:dyDescent="0.2">
      <c r="A309" t="s">
        <v>18</v>
      </c>
      <c r="B309" t="s">
        <v>19</v>
      </c>
      <c r="C309" t="s">
        <v>23</v>
      </c>
      <c r="D309">
        <v>0.35</v>
      </c>
      <c r="E309">
        <v>0.16</v>
      </c>
      <c r="F309">
        <f>Table3[[#This Row],[User]]+Table3[[#This Row],[Sys]]</f>
        <v>0.51</v>
      </c>
    </row>
    <row r="310" spans="1:6" x14ac:dyDescent="0.2">
      <c r="A310" t="s">
        <v>18</v>
      </c>
      <c r="B310" t="s">
        <v>19</v>
      </c>
      <c r="C310" t="s">
        <v>24</v>
      </c>
      <c r="D310">
        <v>4.47</v>
      </c>
      <c r="E310">
        <v>0.41</v>
      </c>
      <c r="F310">
        <f>Table3[[#This Row],[User]]+Table3[[#This Row],[Sys]]</f>
        <v>4.88</v>
      </c>
    </row>
    <row r="311" spans="1:6" x14ac:dyDescent="0.2">
      <c r="A311" t="s">
        <v>18</v>
      </c>
      <c r="B311" t="s">
        <v>19</v>
      </c>
      <c r="C311" t="s">
        <v>25</v>
      </c>
      <c r="D311">
        <v>4.34</v>
      </c>
      <c r="E311">
        <v>0.42</v>
      </c>
      <c r="F311">
        <f>Table3[[#This Row],[User]]+Table3[[#This Row],[Sys]]</f>
        <v>4.76</v>
      </c>
    </row>
    <row r="312" spans="1:6" x14ac:dyDescent="0.2">
      <c r="A312" t="s">
        <v>18</v>
      </c>
      <c r="B312" t="s">
        <v>19</v>
      </c>
      <c r="C312" t="s">
        <v>26</v>
      </c>
      <c r="D312">
        <v>0.12</v>
      </c>
      <c r="E312">
        <v>0.06</v>
      </c>
      <c r="F312">
        <f>Table3[[#This Row],[User]]+Table3[[#This Row],[Sys]]</f>
        <v>0.18</v>
      </c>
    </row>
    <row r="313" spans="1:6" x14ac:dyDescent="0.2">
      <c r="A313" t="s">
        <v>18</v>
      </c>
      <c r="B313" t="s">
        <v>19</v>
      </c>
      <c r="C313" t="s">
        <v>27</v>
      </c>
      <c r="D313">
        <v>0.13</v>
      </c>
      <c r="E313">
        <v>7.0000000000000007E-2</v>
      </c>
      <c r="F313">
        <f>Table3[[#This Row],[User]]+Table3[[#This Row],[Sys]]</f>
        <v>0.2</v>
      </c>
    </row>
    <row r="314" spans="1:6" x14ac:dyDescent="0.2">
      <c r="A314" t="s">
        <v>18</v>
      </c>
      <c r="B314" t="s">
        <v>19</v>
      </c>
      <c r="C314" t="s">
        <v>28</v>
      </c>
      <c r="D314">
        <v>7.0000000000000007E-2</v>
      </c>
      <c r="E314">
        <v>0.03</v>
      </c>
      <c r="F314">
        <f>Table3[[#This Row],[User]]+Table3[[#This Row],[Sys]]</f>
        <v>0.1</v>
      </c>
    </row>
    <row r="315" spans="1:6" x14ac:dyDescent="0.2">
      <c r="A315" t="s">
        <v>18</v>
      </c>
      <c r="B315" t="s">
        <v>19</v>
      </c>
      <c r="C315" t="s">
        <v>29</v>
      </c>
      <c r="D315">
        <v>0.08</v>
      </c>
      <c r="E315">
        <v>0.04</v>
      </c>
      <c r="F315">
        <f>Table3[[#This Row],[User]]+Table3[[#This Row],[Sys]]</f>
        <v>0.12</v>
      </c>
    </row>
    <row r="316" spans="1:6" x14ac:dyDescent="0.2">
      <c r="A316" t="s">
        <v>18</v>
      </c>
      <c r="B316" t="s">
        <v>19</v>
      </c>
      <c r="C316" t="s">
        <v>30</v>
      </c>
      <c r="D316">
        <v>0.23</v>
      </c>
      <c r="E316">
        <v>0.14000000000000001</v>
      </c>
      <c r="F316">
        <f>Table3[[#This Row],[User]]+Table3[[#This Row],[Sys]]</f>
        <v>0.37</v>
      </c>
    </row>
    <row r="317" spans="1:6" x14ac:dyDescent="0.2">
      <c r="A317" t="s">
        <v>18</v>
      </c>
      <c r="B317" t="s">
        <v>19</v>
      </c>
      <c r="C317" t="s">
        <v>31</v>
      </c>
      <c r="D317">
        <v>0.23</v>
      </c>
      <c r="E317">
        <v>0.14000000000000001</v>
      </c>
      <c r="F317">
        <f>Table3[[#This Row],[User]]+Table3[[#This Row],[Sys]]</f>
        <v>0.37</v>
      </c>
    </row>
    <row r="318" spans="1:6" x14ac:dyDescent="0.2">
      <c r="A318" t="s">
        <v>18</v>
      </c>
      <c r="B318" t="s">
        <v>19</v>
      </c>
      <c r="C318" t="s">
        <v>22</v>
      </c>
      <c r="D318">
        <v>0.34</v>
      </c>
      <c r="E318">
        <v>0.16</v>
      </c>
      <c r="F318">
        <f>Table3[[#This Row],[User]]+Table3[[#This Row],[Sys]]</f>
        <v>0.5</v>
      </c>
    </row>
    <row r="319" spans="1:6" x14ac:dyDescent="0.2">
      <c r="A319" t="s">
        <v>18</v>
      </c>
      <c r="B319" t="s">
        <v>19</v>
      </c>
      <c r="C319" t="s">
        <v>23</v>
      </c>
      <c r="D319">
        <v>0.34</v>
      </c>
      <c r="E319">
        <v>0.18</v>
      </c>
      <c r="F319">
        <f>Table3[[#This Row],[User]]+Table3[[#This Row],[Sys]]</f>
        <v>0.52</v>
      </c>
    </row>
    <row r="320" spans="1:6" x14ac:dyDescent="0.2">
      <c r="A320" t="s">
        <v>18</v>
      </c>
      <c r="B320" t="s">
        <v>19</v>
      </c>
      <c r="C320" t="s">
        <v>24</v>
      </c>
      <c r="D320">
        <v>4.25</v>
      </c>
      <c r="E320">
        <v>0.39</v>
      </c>
      <c r="F320">
        <f>Table3[[#This Row],[User]]+Table3[[#This Row],[Sys]]</f>
        <v>4.6399999999999997</v>
      </c>
    </row>
    <row r="321" spans="1:6" x14ac:dyDescent="0.2">
      <c r="A321" t="s">
        <v>18</v>
      </c>
      <c r="B321" t="s">
        <v>19</v>
      </c>
      <c r="C321" t="s">
        <v>25</v>
      </c>
      <c r="D321">
        <v>4.26</v>
      </c>
      <c r="E321">
        <v>0.41</v>
      </c>
      <c r="F321">
        <f>Table3[[#This Row],[User]]+Table3[[#This Row],[Sys]]</f>
        <v>4.67</v>
      </c>
    </row>
    <row r="322" spans="1:6" x14ac:dyDescent="0.2">
      <c r="A322" t="s">
        <v>18</v>
      </c>
      <c r="B322" t="s">
        <v>19</v>
      </c>
      <c r="C322" t="s">
        <v>26</v>
      </c>
      <c r="D322">
        <v>0.12</v>
      </c>
      <c r="E322">
        <v>0.06</v>
      </c>
      <c r="F322">
        <f>Table3[[#This Row],[User]]+Table3[[#This Row],[Sys]]</f>
        <v>0.18</v>
      </c>
    </row>
    <row r="323" spans="1:6" x14ac:dyDescent="0.2">
      <c r="A323" t="s">
        <v>18</v>
      </c>
      <c r="B323" t="s">
        <v>19</v>
      </c>
      <c r="C323" t="s">
        <v>27</v>
      </c>
      <c r="D323">
        <v>0.12</v>
      </c>
      <c r="E323">
        <v>0.06</v>
      </c>
      <c r="F323">
        <f>Table3[[#This Row],[User]]+Table3[[#This Row],[Sys]]</f>
        <v>0.18</v>
      </c>
    </row>
    <row r="324" spans="1:6" x14ac:dyDescent="0.2">
      <c r="A324" t="s">
        <v>18</v>
      </c>
      <c r="B324" t="s">
        <v>19</v>
      </c>
      <c r="C324" t="s">
        <v>28</v>
      </c>
      <c r="D324">
        <v>7.0000000000000007E-2</v>
      </c>
      <c r="E324">
        <v>0.03</v>
      </c>
      <c r="F324">
        <f>Table3[[#This Row],[User]]+Table3[[#This Row],[Sys]]</f>
        <v>0.1</v>
      </c>
    </row>
    <row r="325" spans="1:6" x14ac:dyDescent="0.2">
      <c r="A325" t="s">
        <v>18</v>
      </c>
      <c r="B325" t="s">
        <v>19</v>
      </c>
      <c r="C325" t="s">
        <v>29</v>
      </c>
      <c r="D325">
        <v>0.08</v>
      </c>
      <c r="E325">
        <v>0.04</v>
      </c>
      <c r="F325">
        <f>Table3[[#This Row],[User]]+Table3[[#This Row],[Sys]]</f>
        <v>0.12</v>
      </c>
    </row>
    <row r="326" spans="1:6" x14ac:dyDescent="0.2">
      <c r="A326" t="s">
        <v>18</v>
      </c>
      <c r="B326" t="s">
        <v>19</v>
      </c>
      <c r="C326" t="s">
        <v>30</v>
      </c>
      <c r="D326">
        <v>0.23</v>
      </c>
      <c r="E326">
        <v>0.14000000000000001</v>
      </c>
      <c r="F326">
        <f>Table3[[#This Row],[User]]+Table3[[#This Row],[Sys]]</f>
        <v>0.37</v>
      </c>
    </row>
    <row r="327" spans="1:6" x14ac:dyDescent="0.2">
      <c r="A327" t="s">
        <v>18</v>
      </c>
      <c r="B327" t="s">
        <v>19</v>
      </c>
      <c r="C327" t="s">
        <v>31</v>
      </c>
      <c r="D327">
        <v>0.23</v>
      </c>
      <c r="E327">
        <v>0.14000000000000001</v>
      </c>
      <c r="F327">
        <f>Table3[[#This Row],[User]]+Table3[[#This Row],[Sys]]</f>
        <v>0.37</v>
      </c>
    </row>
    <row r="328" spans="1:6" x14ac:dyDescent="0.2">
      <c r="A328" t="s">
        <v>18</v>
      </c>
      <c r="B328" t="s">
        <v>19</v>
      </c>
      <c r="C328" t="s">
        <v>22</v>
      </c>
      <c r="D328">
        <v>0.34</v>
      </c>
      <c r="E328">
        <v>0.17</v>
      </c>
      <c r="F328">
        <f>Table3[[#This Row],[User]]+Table3[[#This Row],[Sys]]</f>
        <v>0.51</v>
      </c>
    </row>
    <row r="329" spans="1:6" x14ac:dyDescent="0.2">
      <c r="A329" t="s">
        <v>18</v>
      </c>
      <c r="B329" t="s">
        <v>19</v>
      </c>
      <c r="C329" t="s">
        <v>23</v>
      </c>
      <c r="D329">
        <v>0.34</v>
      </c>
      <c r="E329">
        <v>0.16</v>
      </c>
      <c r="F329">
        <f>Table3[[#This Row],[User]]+Table3[[#This Row],[Sys]]</f>
        <v>0.5</v>
      </c>
    </row>
    <row r="330" spans="1:6" x14ac:dyDescent="0.2">
      <c r="A330" t="s">
        <v>18</v>
      </c>
      <c r="B330" t="s">
        <v>19</v>
      </c>
      <c r="C330" t="s">
        <v>24</v>
      </c>
      <c r="D330">
        <v>4.26</v>
      </c>
      <c r="E330">
        <v>0.4</v>
      </c>
      <c r="F330">
        <f>Table3[[#This Row],[User]]+Table3[[#This Row],[Sys]]</f>
        <v>4.66</v>
      </c>
    </row>
    <row r="331" spans="1:6" x14ac:dyDescent="0.2">
      <c r="A331" t="s">
        <v>18</v>
      </c>
      <c r="B331" t="s">
        <v>19</v>
      </c>
      <c r="C331" t="s">
        <v>25</v>
      </c>
      <c r="D331">
        <v>4.3</v>
      </c>
      <c r="E331">
        <v>0.4</v>
      </c>
      <c r="F331">
        <f>Table3[[#This Row],[User]]+Table3[[#This Row],[Sys]]</f>
        <v>4.7</v>
      </c>
    </row>
    <row r="332" spans="1:6" x14ac:dyDescent="0.2">
      <c r="A332" t="s">
        <v>18</v>
      </c>
      <c r="B332" t="s">
        <v>19</v>
      </c>
      <c r="C332" t="s">
        <v>26</v>
      </c>
      <c r="D332">
        <v>0.13</v>
      </c>
      <c r="E332">
        <v>0.06</v>
      </c>
      <c r="F332">
        <f>Table3[[#This Row],[User]]+Table3[[#This Row],[Sys]]</f>
        <v>0.19</v>
      </c>
    </row>
    <row r="333" spans="1:6" x14ac:dyDescent="0.2">
      <c r="A333" t="s">
        <v>18</v>
      </c>
      <c r="B333" t="s">
        <v>19</v>
      </c>
      <c r="C333" t="s">
        <v>27</v>
      </c>
      <c r="D333">
        <v>0.13</v>
      </c>
      <c r="E333">
        <v>7.0000000000000007E-2</v>
      </c>
      <c r="F333">
        <f>Table3[[#This Row],[User]]+Table3[[#This Row],[Sys]]</f>
        <v>0.2</v>
      </c>
    </row>
    <row r="334" spans="1:6" x14ac:dyDescent="0.2">
      <c r="A334" t="s">
        <v>18</v>
      </c>
      <c r="B334" t="s">
        <v>19</v>
      </c>
      <c r="C334" t="s">
        <v>28</v>
      </c>
      <c r="D334">
        <v>0.08</v>
      </c>
      <c r="E334">
        <v>0.04</v>
      </c>
      <c r="F334">
        <f>Table3[[#This Row],[User]]+Table3[[#This Row],[Sys]]</f>
        <v>0.12</v>
      </c>
    </row>
    <row r="335" spans="1:6" x14ac:dyDescent="0.2">
      <c r="A335" t="s">
        <v>18</v>
      </c>
      <c r="B335" t="s">
        <v>19</v>
      </c>
      <c r="C335" t="s">
        <v>29</v>
      </c>
      <c r="D335">
        <v>0.08</v>
      </c>
      <c r="E335">
        <v>0.04</v>
      </c>
      <c r="F335">
        <f>Table3[[#This Row],[User]]+Table3[[#This Row],[Sys]]</f>
        <v>0.12</v>
      </c>
    </row>
    <row r="336" spans="1:6" x14ac:dyDescent="0.2">
      <c r="A336" t="s">
        <v>18</v>
      </c>
      <c r="B336" t="s">
        <v>19</v>
      </c>
      <c r="C336" t="s">
        <v>30</v>
      </c>
      <c r="D336">
        <v>0.24</v>
      </c>
      <c r="E336">
        <v>0.15</v>
      </c>
      <c r="F336">
        <f>Table3[[#This Row],[User]]+Table3[[#This Row],[Sys]]</f>
        <v>0.39</v>
      </c>
    </row>
    <row r="337" spans="1:6" x14ac:dyDescent="0.2">
      <c r="A337" t="s">
        <v>18</v>
      </c>
      <c r="B337" t="s">
        <v>19</v>
      </c>
      <c r="C337" t="s">
        <v>31</v>
      </c>
      <c r="D337">
        <v>0.24</v>
      </c>
      <c r="E337">
        <v>0.15</v>
      </c>
      <c r="F337">
        <f>Table3[[#This Row],[User]]+Table3[[#This Row],[Sys]]</f>
        <v>0.39</v>
      </c>
    </row>
    <row r="338" spans="1:6" x14ac:dyDescent="0.2">
      <c r="A338" t="s">
        <v>21</v>
      </c>
      <c r="B338" t="s">
        <v>20</v>
      </c>
      <c r="C338" t="s">
        <v>22</v>
      </c>
      <c r="D338">
        <v>42.06</v>
      </c>
      <c r="E338">
        <v>6.77</v>
      </c>
      <c r="F338">
        <f>Table3[[#This Row],[User]]+Table3[[#This Row],[Sys]]</f>
        <v>48.83</v>
      </c>
    </row>
    <row r="339" spans="1:6" x14ac:dyDescent="0.2">
      <c r="A339" t="s">
        <v>21</v>
      </c>
      <c r="B339" t="s">
        <v>20</v>
      </c>
      <c r="C339" t="s">
        <v>23</v>
      </c>
      <c r="D339">
        <v>21.19</v>
      </c>
      <c r="E339">
        <v>5.1100000000000003</v>
      </c>
      <c r="F339">
        <f>Table3[[#This Row],[User]]+Table3[[#This Row],[Sys]]</f>
        <v>26.3</v>
      </c>
    </row>
    <row r="340" spans="1:6" x14ac:dyDescent="0.2">
      <c r="A340" t="s">
        <v>21</v>
      </c>
      <c r="B340" t="s">
        <v>20</v>
      </c>
      <c r="C340" t="s">
        <v>24</v>
      </c>
      <c r="D340">
        <v>10.23</v>
      </c>
      <c r="E340">
        <v>2.3199999999999998</v>
      </c>
      <c r="F340">
        <f>Table3[[#This Row],[User]]+Table3[[#This Row],[Sys]]</f>
        <v>12.55</v>
      </c>
    </row>
    <row r="341" spans="1:6" x14ac:dyDescent="0.2">
      <c r="A341" t="s">
        <v>21</v>
      </c>
      <c r="B341" t="s">
        <v>20</v>
      </c>
      <c r="C341" t="s">
        <v>25</v>
      </c>
      <c r="D341">
        <v>13.21</v>
      </c>
      <c r="E341">
        <v>2.86</v>
      </c>
      <c r="F341">
        <f>Table3[[#This Row],[User]]+Table3[[#This Row],[Sys]]</f>
        <v>16.07</v>
      </c>
    </row>
    <row r="342" spans="1:6" x14ac:dyDescent="0.2">
      <c r="A342" t="s">
        <v>21</v>
      </c>
      <c r="B342" t="s">
        <v>20</v>
      </c>
      <c r="C342" t="s">
        <v>26</v>
      </c>
      <c r="D342">
        <v>6.45</v>
      </c>
      <c r="E342">
        <v>1.83</v>
      </c>
      <c r="F342">
        <f>Table3[[#This Row],[User]]+Table3[[#This Row],[Sys]]</f>
        <v>8.2800000000000011</v>
      </c>
    </row>
    <row r="343" spans="1:6" x14ac:dyDescent="0.2">
      <c r="A343" t="s">
        <v>21</v>
      </c>
      <c r="B343" t="s">
        <v>20</v>
      </c>
      <c r="C343" t="s">
        <v>27</v>
      </c>
      <c r="D343">
        <v>6.57</v>
      </c>
      <c r="E343">
        <v>1.8</v>
      </c>
      <c r="F343">
        <f>Table3[[#This Row],[User]]+Table3[[#This Row],[Sys]]</f>
        <v>8.370000000000001</v>
      </c>
    </row>
    <row r="344" spans="1:6" x14ac:dyDescent="0.2">
      <c r="A344" t="s">
        <v>21</v>
      </c>
      <c r="B344" t="s">
        <v>20</v>
      </c>
      <c r="C344" t="s">
        <v>28</v>
      </c>
      <c r="D344">
        <v>14.12</v>
      </c>
      <c r="E344">
        <v>2.69</v>
      </c>
      <c r="F344">
        <f>Table3[[#This Row],[User]]+Table3[[#This Row],[Sys]]</f>
        <v>16.809999999999999</v>
      </c>
    </row>
    <row r="345" spans="1:6" x14ac:dyDescent="0.2">
      <c r="A345" t="s">
        <v>21</v>
      </c>
      <c r="B345" t="s">
        <v>20</v>
      </c>
      <c r="C345" t="s">
        <v>29</v>
      </c>
      <c r="D345">
        <v>14.04</v>
      </c>
      <c r="E345">
        <v>2.39</v>
      </c>
      <c r="F345">
        <f>Table3[[#This Row],[User]]+Table3[[#This Row],[Sys]]</f>
        <v>16.43</v>
      </c>
    </row>
    <row r="346" spans="1:6" x14ac:dyDescent="0.2">
      <c r="A346" t="s">
        <v>21</v>
      </c>
      <c r="B346" t="s">
        <v>20</v>
      </c>
      <c r="C346" t="s">
        <v>30</v>
      </c>
      <c r="D346">
        <v>22.96</v>
      </c>
      <c r="E346">
        <v>5.07</v>
      </c>
      <c r="F346">
        <f>Table3[[#This Row],[User]]+Table3[[#This Row],[Sys]]</f>
        <v>28.03</v>
      </c>
    </row>
    <row r="347" spans="1:6" x14ac:dyDescent="0.2">
      <c r="A347" t="s">
        <v>21</v>
      </c>
      <c r="B347" t="s">
        <v>20</v>
      </c>
      <c r="C347" t="s">
        <v>31</v>
      </c>
      <c r="D347">
        <v>37.1</v>
      </c>
      <c r="E347">
        <v>5.62</v>
      </c>
      <c r="F347">
        <f>Table3[[#This Row],[User]]+Table3[[#This Row],[Sys]]</f>
        <v>42.72</v>
      </c>
    </row>
    <row r="348" spans="1:6" x14ac:dyDescent="0.2">
      <c r="A348" t="s">
        <v>21</v>
      </c>
      <c r="B348" t="s">
        <v>20</v>
      </c>
      <c r="C348" t="s">
        <v>22</v>
      </c>
      <c r="D348">
        <v>28.25</v>
      </c>
      <c r="E348">
        <v>6.28</v>
      </c>
      <c r="F348">
        <f>Table3[[#This Row],[User]]+Table3[[#This Row],[Sys]]</f>
        <v>34.53</v>
      </c>
    </row>
    <row r="349" spans="1:6" x14ac:dyDescent="0.2">
      <c r="A349" t="s">
        <v>21</v>
      </c>
      <c r="B349" t="s">
        <v>20</v>
      </c>
      <c r="C349" t="s">
        <v>23</v>
      </c>
      <c r="D349">
        <v>20.93</v>
      </c>
      <c r="E349">
        <v>5.08</v>
      </c>
      <c r="F349">
        <f>Table3[[#This Row],[User]]+Table3[[#This Row],[Sys]]</f>
        <v>26.009999999999998</v>
      </c>
    </row>
    <row r="350" spans="1:6" x14ac:dyDescent="0.2">
      <c r="A350" t="s">
        <v>21</v>
      </c>
      <c r="B350" t="s">
        <v>20</v>
      </c>
      <c r="C350" t="s">
        <v>24</v>
      </c>
      <c r="D350">
        <v>10.39</v>
      </c>
      <c r="E350">
        <v>2.4</v>
      </c>
      <c r="F350">
        <f>Table3[[#This Row],[User]]+Table3[[#This Row],[Sys]]</f>
        <v>12.790000000000001</v>
      </c>
    </row>
    <row r="351" spans="1:6" x14ac:dyDescent="0.2">
      <c r="A351" t="s">
        <v>21</v>
      </c>
      <c r="B351" t="s">
        <v>20</v>
      </c>
      <c r="C351" t="s">
        <v>25</v>
      </c>
      <c r="D351">
        <v>13.16</v>
      </c>
      <c r="E351">
        <v>2.8</v>
      </c>
      <c r="F351">
        <f>Table3[[#This Row],[User]]+Table3[[#This Row],[Sys]]</f>
        <v>15.96</v>
      </c>
    </row>
    <row r="352" spans="1:6" x14ac:dyDescent="0.2">
      <c r="A352" t="s">
        <v>21</v>
      </c>
      <c r="B352" t="s">
        <v>20</v>
      </c>
      <c r="C352" t="s">
        <v>26</v>
      </c>
      <c r="D352">
        <v>6.43</v>
      </c>
      <c r="E352">
        <v>1.8</v>
      </c>
      <c r="F352">
        <f>Table3[[#This Row],[User]]+Table3[[#This Row],[Sys]]</f>
        <v>8.23</v>
      </c>
    </row>
    <row r="353" spans="1:6" x14ac:dyDescent="0.2">
      <c r="A353" t="s">
        <v>21</v>
      </c>
      <c r="B353" t="s">
        <v>20</v>
      </c>
      <c r="C353" t="s">
        <v>27</v>
      </c>
      <c r="D353">
        <v>6.58</v>
      </c>
      <c r="E353">
        <v>1.8</v>
      </c>
      <c r="F353">
        <f>Table3[[#This Row],[User]]+Table3[[#This Row],[Sys]]</f>
        <v>8.3800000000000008</v>
      </c>
    </row>
    <row r="354" spans="1:6" x14ac:dyDescent="0.2">
      <c r="A354" t="s">
        <v>21</v>
      </c>
      <c r="B354" t="s">
        <v>20</v>
      </c>
      <c r="C354" t="s">
        <v>28</v>
      </c>
      <c r="D354">
        <v>13.93</v>
      </c>
      <c r="E354">
        <v>2.7</v>
      </c>
      <c r="F354">
        <f>Table3[[#This Row],[User]]+Table3[[#This Row],[Sys]]</f>
        <v>16.63</v>
      </c>
    </row>
    <row r="355" spans="1:6" x14ac:dyDescent="0.2">
      <c r="A355" t="s">
        <v>21</v>
      </c>
      <c r="B355" t="s">
        <v>20</v>
      </c>
      <c r="C355" t="s">
        <v>29</v>
      </c>
      <c r="D355">
        <v>14.6</v>
      </c>
      <c r="E355">
        <v>2.38</v>
      </c>
      <c r="F355">
        <f>Table3[[#This Row],[User]]+Table3[[#This Row],[Sys]]</f>
        <v>16.98</v>
      </c>
    </row>
    <row r="356" spans="1:6" x14ac:dyDescent="0.2">
      <c r="A356" t="s">
        <v>21</v>
      </c>
      <c r="B356" t="s">
        <v>20</v>
      </c>
      <c r="C356" t="s">
        <v>30</v>
      </c>
      <c r="D356">
        <v>23.67</v>
      </c>
      <c r="E356">
        <v>5.17</v>
      </c>
      <c r="F356">
        <f>Table3[[#This Row],[User]]+Table3[[#This Row],[Sys]]</f>
        <v>28.840000000000003</v>
      </c>
    </row>
    <row r="357" spans="1:6" x14ac:dyDescent="0.2">
      <c r="A357" t="s">
        <v>21</v>
      </c>
      <c r="B357" t="s">
        <v>20</v>
      </c>
      <c r="C357" t="s">
        <v>31</v>
      </c>
      <c r="D357">
        <v>34.76</v>
      </c>
      <c r="E357">
        <v>7.45</v>
      </c>
      <c r="F357">
        <f>Table3[[#This Row],[User]]+Table3[[#This Row],[Sys]]</f>
        <v>42.21</v>
      </c>
    </row>
    <row r="358" spans="1:6" x14ac:dyDescent="0.2">
      <c r="A358" t="s">
        <v>21</v>
      </c>
      <c r="B358" t="s">
        <v>20</v>
      </c>
      <c r="C358" t="s">
        <v>22</v>
      </c>
      <c r="D358">
        <v>27.57</v>
      </c>
      <c r="E358">
        <v>6.25</v>
      </c>
      <c r="F358">
        <f>Table3[[#This Row],[User]]+Table3[[#This Row],[Sys]]</f>
        <v>33.82</v>
      </c>
    </row>
    <row r="359" spans="1:6" x14ac:dyDescent="0.2">
      <c r="A359" t="s">
        <v>21</v>
      </c>
      <c r="B359" t="s">
        <v>20</v>
      </c>
      <c r="C359" t="s">
        <v>23</v>
      </c>
      <c r="D359">
        <v>21.33</v>
      </c>
      <c r="E359">
        <v>5.15</v>
      </c>
      <c r="F359">
        <f>Table3[[#This Row],[User]]+Table3[[#This Row],[Sys]]</f>
        <v>26.479999999999997</v>
      </c>
    </row>
    <row r="360" spans="1:6" x14ac:dyDescent="0.2">
      <c r="A360" t="s">
        <v>21</v>
      </c>
      <c r="B360" t="s">
        <v>20</v>
      </c>
      <c r="C360" t="s">
        <v>24</v>
      </c>
      <c r="D360">
        <v>10.44</v>
      </c>
      <c r="E360">
        <v>2.36</v>
      </c>
      <c r="F360">
        <f>Table3[[#This Row],[User]]+Table3[[#This Row],[Sys]]</f>
        <v>12.799999999999999</v>
      </c>
    </row>
    <row r="361" spans="1:6" x14ac:dyDescent="0.2">
      <c r="A361" t="s">
        <v>21</v>
      </c>
      <c r="B361" t="s">
        <v>20</v>
      </c>
      <c r="C361" t="s">
        <v>25</v>
      </c>
      <c r="D361">
        <v>15.1</v>
      </c>
      <c r="E361">
        <v>2.98</v>
      </c>
      <c r="F361">
        <f>Table3[[#This Row],[User]]+Table3[[#This Row],[Sys]]</f>
        <v>18.079999999999998</v>
      </c>
    </row>
    <row r="362" spans="1:6" x14ac:dyDescent="0.2">
      <c r="A362" t="s">
        <v>21</v>
      </c>
      <c r="B362" t="s">
        <v>20</v>
      </c>
      <c r="C362" t="s">
        <v>26</v>
      </c>
      <c r="D362">
        <v>10.08</v>
      </c>
      <c r="E362">
        <v>2</v>
      </c>
      <c r="F362">
        <f>Table3[[#This Row],[User]]+Table3[[#This Row],[Sys]]</f>
        <v>12.08</v>
      </c>
    </row>
    <row r="363" spans="1:6" x14ac:dyDescent="0.2">
      <c r="A363" t="s">
        <v>21</v>
      </c>
      <c r="B363" t="s">
        <v>20</v>
      </c>
      <c r="C363" t="s">
        <v>27</v>
      </c>
      <c r="D363">
        <v>6.66</v>
      </c>
      <c r="E363">
        <v>1.85</v>
      </c>
      <c r="F363">
        <f>Table3[[#This Row],[User]]+Table3[[#This Row],[Sys]]</f>
        <v>8.51</v>
      </c>
    </row>
    <row r="364" spans="1:6" x14ac:dyDescent="0.2">
      <c r="A364" t="s">
        <v>21</v>
      </c>
      <c r="B364" t="s">
        <v>20</v>
      </c>
      <c r="C364" t="s">
        <v>28</v>
      </c>
      <c r="D364">
        <v>14.25</v>
      </c>
      <c r="E364">
        <v>2.68</v>
      </c>
      <c r="F364">
        <f>Table3[[#This Row],[User]]+Table3[[#This Row],[Sys]]</f>
        <v>16.93</v>
      </c>
    </row>
    <row r="365" spans="1:6" x14ac:dyDescent="0.2">
      <c r="A365" t="s">
        <v>21</v>
      </c>
      <c r="B365" t="s">
        <v>20</v>
      </c>
      <c r="C365" t="s">
        <v>29</v>
      </c>
      <c r="D365">
        <v>14.41</v>
      </c>
      <c r="E365">
        <v>2.4500000000000002</v>
      </c>
      <c r="F365">
        <f>Table3[[#This Row],[User]]+Table3[[#This Row],[Sys]]</f>
        <v>16.86</v>
      </c>
    </row>
    <row r="366" spans="1:6" x14ac:dyDescent="0.2">
      <c r="A366" t="s">
        <v>21</v>
      </c>
      <c r="B366" t="s">
        <v>20</v>
      </c>
      <c r="C366" t="s">
        <v>30</v>
      </c>
      <c r="D366">
        <v>23.62</v>
      </c>
      <c r="E366">
        <v>5.39</v>
      </c>
      <c r="F366">
        <f>Table3[[#This Row],[User]]+Table3[[#This Row],[Sys]]</f>
        <v>29.01</v>
      </c>
    </row>
    <row r="367" spans="1:6" x14ac:dyDescent="0.2">
      <c r="A367" t="s">
        <v>21</v>
      </c>
      <c r="B367" t="s">
        <v>20</v>
      </c>
      <c r="C367" t="s">
        <v>31</v>
      </c>
      <c r="D367">
        <v>37.42</v>
      </c>
      <c r="E367">
        <v>5.74</v>
      </c>
      <c r="F367">
        <f>Table3[[#This Row],[User]]+Table3[[#This Row],[Sys]]</f>
        <v>43.160000000000004</v>
      </c>
    </row>
    <row r="368" spans="1:6" x14ac:dyDescent="0.2">
      <c r="A368" t="s">
        <v>21</v>
      </c>
      <c r="B368" t="s">
        <v>20</v>
      </c>
      <c r="C368" t="s">
        <v>22</v>
      </c>
      <c r="D368">
        <v>42.54</v>
      </c>
      <c r="E368">
        <v>6.93</v>
      </c>
      <c r="F368">
        <f>Table3[[#This Row],[User]]+Table3[[#This Row],[Sys]]</f>
        <v>49.47</v>
      </c>
    </row>
    <row r="369" spans="1:6" x14ac:dyDescent="0.2">
      <c r="A369" t="s">
        <v>21</v>
      </c>
      <c r="B369" t="s">
        <v>20</v>
      </c>
      <c r="C369" t="s">
        <v>23</v>
      </c>
      <c r="D369">
        <v>21.12</v>
      </c>
      <c r="E369">
        <v>5.08</v>
      </c>
      <c r="F369">
        <f>Table3[[#This Row],[User]]+Table3[[#This Row],[Sys]]</f>
        <v>26.200000000000003</v>
      </c>
    </row>
    <row r="370" spans="1:6" x14ac:dyDescent="0.2">
      <c r="A370" t="s">
        <v>21</v>
      </c>
      <c r="B370" t="s">
        <v>20</v>
      </c>
      <c r="C370" t="s">
        <v>24</v>
      </c>
      <c r="D370">
        <v>10.47</v>
      </c>
      <c r="E370">
        <v>2.4500000000000002</v>
      </c>
      <c r="F370">
        <f>Table3[[#This Row],[User]]+Table3[[#This Row],[Sys]]</f>
        <v>12.920000000000002</v>
      </c>
    </row>
    <row r="371" spans="1:6" x14ac:dyDescent="0.2">
      <c r="A371" t="s">
        <v>21</v>
      </c>
      <c r="B371" t="s">
        <v>20</v>
      </c>
      <c r="C371" t="s">
        <v>25</v>
      </c>
      <c r="D371">
        <v>13.28</v>
      </c>
      <c r="E371">
        <v>2.91</v>
      </c>
      <c r="F371">
        <f>Table3[[#This Row],[User]]+Table3[[#This Row],[Sys]]</f>
        <v>16.189999999999998</v>
      </c>
    </row>
    <row r="372" spans="1:6" x14ac:dyDescent="0.2">
      <c r="A372" t="s">
        <v>21</v>
      </c>
      <c r="B372" t="s">
        <v>20</v>
      </c>
      <c r="C372" t="s">
        <v>26</v>
      </c>
      <c r="D372">
        <v>6.45</v>
      </c>
      <c r="E372">
        <v>1.85</v>
      </c>
      <c r="F372">
        <f>Table3[[#This Row],[User]]+Table3[[#This Row],[Sys]]</f>
        <v>8.3000000000000007</v>
      </c>
    </row>
    <row r="373" spans="1:6" x14ac:dyDescent="0.2">
      <c r="A373" t="s">
        <v>21</v>
      </c>
      <c r="B373" t="s">
        <v>20</v>
      </c>
      <c r="C373" t="s">
        <v>27</v>
      </c>
      <c r="D373">
        <v>6.73</v>
      </c>
      <c r="E373">
        <v>1.93</v>
      </c>
      <c r="F373">
        <f>Table3[[#This Row],[User]]+Table3[[#This Row],[Sys]]</f>
        <v>8.66</v>
      </c>
    </row>
    <row r="374" spans="1:6" x14ac:dyDescent="0.2">
      <c r="A374" t="s">
        <v>21</v>
      </c>
      <c r="B374" t="s">
        <v>20</v>
      </c>
      <c r="C374" t="s">
        <v>28</v>
      </c>
      <c r="D374">
        <v>14.2</v>
      </c>
      <c r="E374">
        <v>2.7</v>
      </c>
      <c r="F374">
        <f>Table3[[#This Row],[User]]+Table3[[#This Row],[Sys]]</f>
        <v>16.899999999999999</v>
      </c>
    </row>
    <row r="375" spans="1:6" x14ac:dyDescent="0.2">
      <c r="A375" t="s">
        <v>21</v>
      </c>
      <c r="B375" t="s">
        <v>20</v>
      </c>
      <c r="C375" t="s">
        <v>29</v>
      </c>
      <c r="D375">
        <v>15.51</v>
      </c>
      <c r="E375">
        <v>2.64</v>
      </c>
      <c r="F375">
        <f>Table3[[#This Row],[User]]+Table3[[#This Row],[Sys]]</f>
        <v>18.149999999999999</v>
      </c>
    </row>
    <row r="376" spans="1:6" x14ac:dyDescent="0.2">
      <c r="A376" t="s">
        <v>21</v>
      </c>
      <c r="B376" t="s">
        <v>20</v>
      </c>
      <c r="C376" t="s">
        <v>30</v>
      </c>
      <c r="D376">
        <v>23.52</v>
      </c>
      <c r="E376">
        <v>5.33</v>
      </c>
      <c r="F376">
        <f>Table3[[#This Row],[User]]+Table3[[#This Row],[Sys]]</f>
        <v>28.85</v>
      </c>
    </row>
    <row r="377" spans="1:6" x14ac:dyDescent="0.2">
      <c r="A377" t="s">
        <v>21</v>
      </c>
      <c r="B377" t="s">
        <v>20</v>
      </c>
      <c r="C377" t="s">
        <v>31</v>
      </c>
      <c r="D377">
        <v>36.340000000000003</v>
      </c>
      <c r="E377">
        <v>5.99</v>
      </c>
      <c r="F377">
        <f>Table3[[#This Row],[User]]+Table3[[#This Row],[Sys]]</f>
        <v>42.330000000000005</v>
      </c>
    </row>
    <row r="378" spans="1:6" x14ac:dyDescent="0.2">
      <c r="A378" t="s">
        <v>21</v>
      </c>
      <c r="B378" t="s">
        <v>20</v>
      </c>
      <c r="C378" t="s">
        <v>22</v>
      </c>
      <c r="D378">
        <v>27.39</v>
      </c>
      <c r="E378">
        <v>6.18</v>
      </c>
      <c r="F378">
        <f>Table3[[#This Row],[User]]+Table3[[#This Row],[Sys]]</f>
        <v>33.57</v>
      </c>
    </row>
    <row r="379" spans="1:6" x14ac:dyDescent="0.2">
      <c r="A379" t="s">
        <v>21</v>
      </c>
      <c r="B379" t="s">
        <v>20</v>
      </c>
      <c r="C379" t="s">
        <v>23</v>
      </c>
      <c r="D379">
        <v>21.19</v>
      </c>
      <c r="E379">
        <v>5</v>
      </c>
      <c r="F379">
        <f>Table3[[#This Row],[User]]+Table3[[#This Row],[Sys]]</f>
        <v>26.19</v>
      </c>
    </row>
    <row r="380" spans="1:6" x14ac:dyDescent="0.2">
      <c r="A380" t="s">
        <v>21</v>
      </c>
      <c r="B380" t="s">
        <v>20</v>
      </c>
      <c r="C380" t="s">
        <v>24</v>
      </c>
      <c r="D380">
        <v>10.35</v>
      </c>
      <c r="E380">
        <v>2.29</v>
      </c>
      <c r="F380">
        <f>Table3[[#This Row],[User]]+Table3[[#This Row],[Sys]]</f>
        <v>12.64</v>
      </c>
    </row>
    <row r="381" spans="1:6" x14ac:dyDescent="0.2">
      <c r="A381" t="s">
        <v>21</v>
      </c>
      <c r="B381" t="s">
        <v>20</v>
      </c>
      <c r="C381" t="s">
        <v>25</v>
      </c>
      <c r="D381">
        <v>13.22</v>
      </c>
      <c r="E381">
        <v>2.79</v>
      </c>
      <c r="F381">
        <f>Table3[[#This Row],[User]]+Table3[[#This Row],[Sys]]</f>
        <v>16.010000000000002</v>
      </c>
    </row>
    <row r="382" spans="1:6" x14ac:dyDescent="0.2">
      <c r="A382" t="s">
        <v>21</v>
      </c>
      <c r="B382" t="s">
        <v>20</v>
      </c>
      <c r="C382" t="s">
        <v>26</v>
      </c>
      <c r="D382">
        <v>6.59</v>
      </c>
      <c r="E382">
        <v>1.84</v>
      </c>
      <c r="F382">
        <f>Table3[[#This Row],[User]]+Table3[[#This Row],[Sys]]</f>
        <v>8.43</v>
      </c>
    </row>
    <row r="383" spans="1:6" x14ac:dyDescent="0.2">
      <c r="A383" t="s">
        <v>21</v>
      </c>
      <c r="B383" t="s">
        <v>20</v>
      </c>
      <c r="C383" t="s">
        <v>27</v>
      </c>
      <c r="D383">
        <v>6.59</v>
      </c>
      <c r="E383">
        <v>1.81</v>
      </c>
      <c r="F383">
        <f>Table3[[#This Row],[User]]+Table3[[#This Row],[Sys]]</f>
        <v>8.4</v>
      </c>
    </row>
    <row r="384" spans="1:6" x14ac:dyDescent="0.2">
      <c r="A384" t="s">
        <v>21</v>
      </c>
      <c r="B384" t="s">
        <v>20</v>
      </c>
      <c r="C384" t="s">
        <v>28</v>
      </c>
      <c r="D384">
        <v>13.98</v>
      </c>
      <c r="E384">
        <v>2.59</v>
      </c>
      <c r="F384">
        <f>Table3[[#This Row],[User]]+Table3[[#This Row],[Sys]]</f>
        <v>16.57</v>
      </c>
    </row>
    <row r="385" spans="1:6" x14ac:dyDescent="0.2">
      <c r="A385" t="s">
        <v>21</v>
      </c>
      <c r="B385" t="s">
        <v>20</v>
      </c>
      <c r="C385" t="s">
        <v>29</v>
      </c>
      <c r="D385">
        <v>14.26</v>
      </c>
      <c r="E385">
        <v>2.37</v>
      </c>
      <c r="F385">
        <f>Table3[[#This Row],[User]]+Table3[[#This Row],[Sys]]</f>
        <v>16.63</v>
      </c>
    </row>
    <row r="386" spans="1:6" x14ac:dyDescent="0.2">
      <c r="A386" t="s">
        <v>21</v>
      </c>
      <c r="B386" t="s">
        <v>20</v>
      </c>
      <c r="C386" t="s">
        <v>30</v>
      </c>
      <c r="D386">
        <v>23.06</v>
      </c>
      <c r="E386">
        <v>5.1100000000000003</v>
      </c>
      <c r="F386">
        <f>Table3[[#This Row],[User]]+Table3[[#This Row],[Sys]]</f>
        <v>28.169999999999998</v>
      </c>
    </row>
    <row r="387" spans="1:6" x14ac:dyDescent="0.2">
      <c r="A387" t="s">
        <v>21</v>
      </c>
      <c r="B387" t="s">
        <v>20</v>
      </c>
      <c r="C387" t="s">
        <v>31</v>
      </c>
      <c r="D387">
        <v>35.51</v>
      </c>
      <c r="E387">
        <v>6.71</v>
      </c>
      <c r="F387">
        <f>Table3[[#This Row],[User]]+Table3[[#This Row],[Sys]]</f>
        <v>42.22</v>
      </c>
    </row>
    <row r="388" spans="1:6" x14ac:dyDescent="0.2">
      <c r="A388" t="s">
        <v>21</v>
      </c>
      <c r="B388" t="s">
        <v>20</v>
      </c>
      <c r="C388" t="s">
        <v>22</v>
      </c>
      <c r="D388">
        <v>42.41</v>
      </c>
      <c r="E388">
        <v>6.76</v>
      </c>
      <c r="F388">
        <f>Table3[[#This Row],[User]]+Table3[[#This Row],[Sys]]</f>
        <v>49.169999999999995</v>
      </c>
    </row>
    <row r="389" spans="1:6" x14ac:dyDescent="0.2">
      <c r="A389" t="s">
        <v>21</v>
      </c>
      <c r="B389" t="s">
        <v>20</v>
      </c>
      <c r="C389" t="s">
        <v>23</v>
      </c>
      <c r="D389">
        <v>21.6</v>
      </c>
      <c r="E389">
        <v>5.22</v>
      </c>
      <c r="F389">
        <f>Table3[[#This Row],[User]]+Table3[[#This Row],[Sys]]</f>
        <v>26.82</v>
      </c>
    </row>
    <row r="390" spans="1:6" x14ac:dyDescent="0.2">
      <c r="A390" t="s">
        <v>21</v>
      </c>
      <c r="B390" t="s">
        <v>20</v>
      </c>
      <c r="C390" t="s">
        <v>24</v>
      </c>
      <c r="D390">
        <v>10.29</v>
      </c>
      <c r="E390">
        <v>2.29</v>
      </c>
      <c r="F390">
        <f>Table3[[#This Row],[User]]+Table3[[#This Row],[Sys]]</f>
        <v>12.579999999999998</v>
      </c>
    </row>
    <row r="391" spans="1:6" x14ac:dyDescent="0.2">
      <c r="A391" t="s">
        <v>21</v>
      </c>
      <c r="B391" t="s">
        <v>20</v>
      </c>
      <c r="C391" t="s">
        <v>25</v>
      </c>
      <c r="D391">
        <v>13.12</v>
      </c>
      <c r="E391">
        <v>2.78</v>
      </c>
      <c r="F391">
        <f>Table3[[#This Row],[User]]+Table3[[#This Row],[Sys]]</f>
        <v>15.899999999999999</v>
      </c>
    </row>
    <row r="392" spans="1:6" x14ac:dyDescent="0.2">
      <c r="A392" t="s">
        <v>21</v>
      </c>
      <c r="B392" t="s">
        <v>20</v>
      </c>
      <c r="C392" t="s">
        <v>26</v>
      </c>
      <c r="D392">
        <v>6.49</v>
      </c>
      <c r="E392">
        <v>1.79</v>
      </c>
      <c r="F392">
        <f>Table3[[#This Row],[User]]+Table3[[#This Row],[Sys]]</f>
        <v>8.2800000000000011</v>
      </c>
    </row>
    <row r="393" spans="1:6" x14ac:dyDescent="0.2">
      <c r="A393" t="s">
        <v>21</v>
      </c>
      <c r="B393" t="s">
        <v>20</v>
      </c>
      <c r="C393" t="s">
        <v>27</v>
      </c>
      <c r="D393">
        <v>6.68</v>
      </c>
      <c r="E393">
        <v>1.86</v>
      </c>
      <c r="F393">
        <f>Table3[[#This Row],[User]]+Table3[[#This Row],[Sys]]</f>
        <v>8.5399999999999991</v>
      </c>
    </row>
    <row r="394" spans="1:6" x14ac:dyDescent="0.2">
      <c r="A394" t="s">
        <v>21</v>
      </c>
      <c r="B394" t="s">
        <v>20</v>
      </c>
      <c r="C394" t="s">
        <v>28</v>
      </c>
      <c r="D394">
        <v>14.16</v>
      </c>
      <c r="E394">
        <v>2.69</v>
      </c>
      <c r="F394">
        <f>Table3[[#This Row],[User]]+Table3[[#This Row],[Sys]]</f>
        <v>16.850000000000001</v>
      </c>
    </row>
    <row r="395" spans="1:6" x14ac:dyDescent="0.2">
      <c r="A395" t="s">
        <v>21</v>
      </c>
      <c r="B395" t="s">
        <v>20</v>
      </c>
      <c r="C395" t="s">
        <v>29</v>
      </c>
      <c r="D395">
        <v>15.07</v>
      </c>
      <c r="E395">
        <v>2.48</v>
      </c>
      <c r="F395">
        <f>Table3[[#This Row],[User]]+Table3[[#This Row],[Sys]]</f>
        <v>17.55</v>
      </c>
    </row>
    <row r="396" spans="1:6" x14ac:dyDescent="0.2">
      <c r="A396" t="s">
        <v>21</v>
      </c>
      <c r="B396" t="s">
        <v>20</v>
      </c>
      <c r="C396" t="s">
        <v>30</v>
      </c>
      <c r="D396">
        <v>23.66</v>
      </c>
      <c r="E396">
        <v>5.08</v>
      </c>
      <c r="F396">
        <f>Table3[[#This Row],[User]]+Table3[[#This Row],[Sys]]</f>
        <v>28.740000000000002</v>
      </c>
    </row>
    <row r="397" spans="1:6" x14ac:dyDescent="0.2">
      <c r="A397" t="s">
        <v>21</v>
      </c>
      <c r="B397" t="s">
        <v>20</v>
      </c>
      <c r="C397" t="s">
        <v>31</v>
      </c>
      <c r="D397">
        <v>35.950000000000003</v>
      </c>
      <c r="E397">
        <v>6.15</v>
      </c>
      <c r="F397">
        <f>Table3[[#This Row],[User]]+Table3[[#This Row],[Sys]]</f>
        <v>42.1</v>
      </c>
    </row>
    <row r="398" spans="1:6" x14ac:dyDescent="0.2">
      <c r="A398" t="s">
        <v>21</v>
      </c>
      <c r="B398" t="s">
        <v>19</v>
      </c>
      <c r="C398" t="s">
        <v>22</v>
      </c>
      <c r="D398">
        <v>34.340000000000003</v>
      </c>
      <c r="E398">
        <v>8.5299999999999994</v>
      </c>
      <c r="F398">
        <f>Table3[[#This Row],[User]]+Table3[[#This Row],[Sys]]</f>
        <v>42.870000000000005</v>
      </c>
    </row>
    <row r="399" spans="1:6" x14ac:dyDescent="0.2">
      <c r="A399" t="s">
        <v>21</v>
      </c>
      <c r="B399" t="s">
        <v>19</v>
      </c>
      <c r="C399" t="s">
        <v>23</v>
      </c>
      <c r="D399">
        <v>26.9</v>
      </c>
      <c r="E399">
        <v>6.32</v>
      </c>
      <c r="F399">
        <f>Table3[[#This Row],[User]]+Table3[[#This Row],[Sys]]</f>
        <v>33.22</v>
      </c>
    </row>
    <row r="400" spans="1:6" x14ac:dyDescent="0.2">
      <c r="A400" t="s">
        <v>21</v>
      </c>
      <c r="B400" t="s">
        <v>19</v>
      </c>
      <c r="C400" t="s">
        <v>24</v>
      </c>
      <c r="D400">
        <v>9.9600000000000009</v>
      </c>
      <c r="E400">
        <v>2.23</v>
      </c>
      <c r="F400">
        <f>Table3[[#This Row],[User]]+Table3[[#This Row],[Sys]]</f>
        <v>12.190000000000001</v>
      </c>
    </row>
    <row r="401" spans="1:6" x14ac:dyDescent="0.2">
      <c r="A401" t="s">
        <v>21</v>
      </c>
      <c r="B401" t="s">
        <v>19</v>
      </c>
      <c r="C401" t="s">
        <v>25</v>
      </c>
      <c r="D401">
        <v>12.58</v>
      </c>
      <c r="E401">
        <v>2.37</v>
      </c>
      <c r="F401">
        <f>Table3[[#This Row],[User]]+Table3[[#This Row],[Sys]]</f>
        <v>14.95</v>
      </c>
    </row>
    <row r="402" spans="1:6" x14ac:dyDescent="0.2">
      <c r="A402" t="s">
        <v>21</v>
      </c>
      <c r="B402" t="s">
        <v>19</v>
      </c>
      <c r="C402" t="s">
        <v>26</v>
      </c>
      <c r="D402">
        <v>6.09</v>
      </c>
      <c r="E402">
        <v>1.56</v>
      </c>
      <c r="F402">
        <f>Table3[[#This Row],[User]]+Table3[[#This Row],[Sys]]</f>
        <v>7.65</v>
      </c>
    </row>
    <row r="403" spans="1:6" x14ac:dyDescent="0.2">
      <c r="A403" t="s">
        <v>21</v>
      </c>
      <c r="B403" t="s">
        <v>19</v>
      </c>
      <c r="C403" t="s">
        <v>27</v>
      </c>
      <c r="D403">
        <v>11.96</v>
      </c>
      <c r="E403">
        <v>1.89</v>
      </c>
      <c r="F403">
        <f>Table3[[#This Row],[User]]+Table3[[#This Row],[Sys]]</f>
        <v>13.850000000000001</v>
      </c>
    </row>
    <row r="404" spans="1:6" x14ac:dyDescent="0.2">
      <c r="A404" t="s">
        <v>21</v>
      </c>
      <c r="B404" t="s">
        <v>19</v>
      </c>
      <c r="C404" t="s">
        <v>28</v>
      </c>
      <c r="D404">
        <v>15.74</v>
      </c>
      <c r="E404">
        <v>2.72</v>
      </c>
      <c r="F404">
        <f>Table3[[#This Row],[User]]+Table3[[#This Row],[Sys]]</f>
        <v>18.46</v>
      </c>
    </row>
    <row r="405" spans="1:6" x14ac:dyDescent="0.2">
      <c r="A405" t="s">
        <v>21</v>
      </c>
      <c r="B405" t="s">
        <v>19</v>
      </c>
      <c r="C405" t="s">
        <v>29</v>
      </c>
      <c r="D405">
        <v>14.88</v>
      </c>
      <c r="E405">
        <v>2.37</v>
      </c>
      <c r="F405">
        <f>Table3[[#This Row],[User]]+Table3[[#This Row],[Sys]]</f>
        <v>17.25</v>
      </c>
    </row>
    <row r="406" spans="1:6" x14ac:dyDescent="0.2">
      <c r="A406" t="s">
        <v>21</v>
      </c>
      <c r="B406" t="s">
        <v>19</v>
      </c>
      <c r="C406" t="s">
        <v>30</v>
      </c>
      <c r="D406">
        <v>21.89</v>
      </c>
      <c r="E406">
        <v>4.76</v>
      </c>
      <c r="F406">
        <f>Table3[[#This Row],[User]]+Table3[[#This Row],[Sys]]</f>
        <v>26.65</v>
      </c>
    </row>
    <row r="407" spans="1:6" x14ac:dyDescent="0.2">
      <c r="A407" t="s">
        <v>21</v>
      </c>
      <c r="B407" t="s">
        <v>19</v>
      </c>
      <c r="C407" t="s">
        <v>31</v>
      </c>
      <c r="D407">
        <v>34.68</v>
      </c>
      <c r="E407">
        <v>5.71</v>
      </c>
      <c r="F407">
        <f>Table3[[#This Row],[User]]+Table3[[#This Row],[Sys]]</f>
        <v>40.39</v>
      </c>
    </row>
    <row r="408" spans="1:6" x14ac:dyDescent="0.2">
      <c r="A408" t="s">
        <v>21</v>
      </c>
      <c r="B408" t="s">
        <v>19</v>
      </c>
      <c r="C408" t="s">
        <v>22</v>
      </c>
      <c r="D408">
        <v>54.85</v>
      </c>
      <c r="E408">
        <v>8.84</v>
      </c>
      <c r="F408">
        <f>Table3[[#This Row],[User]]+Table3[[#This Row],[Sys]]</f>
        <v>63.69</v>
      </c>
    </row>
    <row r="409" spans="1:6" x14ac:dyDescent="0.2">
      <c r="A409" t="s">
        <v>21</v>
      </c>
      <c r="B409" t="s">
        <v>19</v>
      </c>
      <c r="C409" t="s">
        <v>23</v>
      </c>
      <c r="D409">
        <v>27.21</v>
      </c>
      <c r="E409">
        <v>6.49</v>
      </c>
      <c r="F409">
        <f>Table3[[#This Row],[User]]+Table3[[#This Row],[Sys]]</f>
        <v>33.700000000000003</v>
      </c>
    </row>
    <row r="410" spans="1:6" x14ac:dyDescent="0.2">
      <c r="A410" t="s">
        <v>21</v>
      </c>
      <c r="B410" t="s">
        <v>19</v>
      </c>
      <c r="C410" t="s">
        <v>24</v>
      </c>
      <c r="D410">
        <v>10.14</v>
      </c>
      <c r="E410">
        <v>2.2200000000000002</v>
      </c>
      <c r="F410">
        <f>Table3[[#This Row],[User]]+Table3[[#This Row],[Sys]]</f>
        <v>12.360000000000001</v>
      </c>
    </row>
    <row r="411" spans="1:6" x14ac:dyDescent="0.2">
      <c r="A411" t="s">
        <v>21</v>
      </c>
      <c r="B411" t="s">
        <v>19</v>
      </c>
      <c r="C411" t="s">
        <v>25</v>
      </c>
      <c r="D411">
        <v>12.85</v>
      </c>
      <c r="E411">
        <v>2.63</v>
      </c>
      <c r="F411">
        <f>Table3[[#This Row],[User]]+Table3[[#This Row],[Sys]]</f>
        <v>15.48</v>
      </c>
    </row>
    <row r="412" spans="1:6" x14ac:dyDescent="0.2">
      <c r="A412" t="s">
        <v>21</v>
      </c>
      <c r="B412" t="s">
        <v>19</v>
      </c>
      <c r="C412" t="s">
        <v>26</v>
      </c>
      <c r="D412">
        <v>6.26</v>
      </c>
      <c r="E412">
        <v>1.73</v>
      </c>
      <c r="F412">
        <f>Table3[[#This Row],[User]]+Table3[[#This Row],[Sys]]</f>
        <v>7.99</v>
      </c>
    </row>
    <row r="413" spans="1:6" x14ac:dyDescent="0.2">
      <c r="A413" t="s">
        <v>21</v>
      </c>
      <c r="B413" t="s">
        <v>19</v>
      </c>
      <c r="C413" t="s">
        <v>27</v>
      </c>
      <c r="D413">
        <v>6.8</v>
      </c>
      <c r="E413">
        <v>1.73</v>
      </c>
      <c r="F413">
        <f>Table3[[#This Row],[User]]+Table3[[#This Row],[Sys]]</f>
        <v>8.5299999999999994</v>
      </c>
    </row>
    <row r="414" spans="1:6" x14ac:dyDescent="0.2">
      <c r="A414" t="s">
        <v>21</v>
      </c>
      <c r="B414" t="s">
        <v>19</v>
      </c>
      <c r="C414" t="s">
        <v>28</v>
      </c>
      <c r="D414">
        <v>15.84</v>
      </c>
      <c r="E414">
        <v>2.6</v>
      </c>
      <c r="F414">
        <f>Table3[[#This Row],[User]]+Table3[[#This Row],[Sys]]</f>
        <v>18.440000000000001</v>
      </c>
    </row>
    <row r="415" spans="1:6" x14ac:dyDescent="0.2">
      <c r="A415" t="s">
        <v>21</v>
      </c>
      <c r="B415" t="s">
        <v>19</v>
      </c>
      <c r="C415" t="s">
        <v>29</v>
      </c>
      <c r="D415">
        <v>15.25</v>
      </c>
      <c r="E415">
        <v>2.36</v>
      </c>
      <c r="F415">
        <f>Table3[[#This Row],[User]]+Table3[[#This Row],[Sys]]</f>
        <v>17.61</v>
      </c>
    </row>
    <row r="416" spans="1:6" x14ac:dyDescent="0.2">
      <c r="A416" t="s">
        <v>21</v>
      </c>
      <c r="B416" t="s">
        <v>19</v>
      </c>
      <c r="C416" t="s">
        <v>30</v>
      </c>
      <c r="D416">
        <v>22.49</v>
      </c>
      <c r="E416">
        <v>4.7699999999999996</v>
      </c>
      <c r="F416">
        <f>Table3[[#This Row],[User]]+Table3[[#This Row],[Sys]]</f>
        <v>27.259999999999998</v>
      </c>
    </row>
    <row r="417" spans="1:6" x14ac:dyDescent="0.2">
      <c r="A417" t="s">
        <v>21</v>
      </c>
      <c r="B417" t="s">
        <v>19</v>
      </c>
      <c r="C417" t="s">
        <v>31</v>
      </c>
      <c r="D417">
        <v>35.18</v>
      </c>
      <c r="E417">
        <v>5.7</v>
      </c>
      <c r="F417">
        <f>Table3[[#This Row],[User]]+Table3[[#This Row],[Sys]]</f>
        <v>40.880000000000003</v>
      </c>
    </row>
    <row r="418" spans="1:6" x14ac:dyDescent="0.2">
      <c r="A418" t="s">
        <v>21</v>
      </c>
      <c r="B418" t="s">
        <v>19</v>
      </c>
      <c r="C418" t="s">
        <v>22</v>
      </c>
      <c r="D418">
        <v>35.11</v>
      </c>
      <c r="E418">
        <v>7.94</v>
      </c>
      <c r="F418">
        <f>Table3[[#This Row],[User]]+Table3[[#This Row],[Sys]]</f>
        <v>43.05</v>
      </c>
    </row>
    <row r="419" spans="1:6" x14ac:dyDescent="0.2">
      <c r="A419" t="s">
        <v>21</v>
      </c>
      <c r="B419" t="s">
        <v>19</v>
      </c>
      <c r="C419" t="s">
        <v>23</v>
      </c>
      <c r="D419">
        <v>27.34</v>
      </c>
      <c r="E419">
        <v>6.47</v>
      </c>
      <c r="F419">
        <f>Table3[[#This Row],[User]]+Table3[[#This Row],[Sys]]</f>
        <v>33.81</v>
      </c>
    </row>
    <row r="420" spans="1:6" x14ac:dyDescent="0.2">
      <c r="A420" t="s">
        <v>21</v>
      </c>
      <c r="B420" t="s">
        <v>19</v>
      </c>
      <c r="C420" t="s">
        <v>24</v>
      </c>
      <c r="D420">
        <v>10.18</v>
      </c>
      <c r="E420">
        <v>2.19</v>
      </c>
      <c r="F420">
        <f>Table3[[#This Row],[User]]+Table3[[#This Row],[Sys]]</f>
        <v>12.37</v>
      </c>
    </row>
    <row r="421" spans="1:6" x14ac:dyDescent="0.2">
      <c r="A421" t="s">
        <v>21</v>
      </c>
      <c r="B421" t="s">
        <v>19</v>
      </c>
      <c r="C421" t="s">
        <v>25</v>
      </c>
      <c r="D421">
        <v>13.11</v>
      </c>
      <c r="E421">
        <v>2.69</v>
      </c>
      <c r="F421">
        <f>Table3[[#This Row],[User]]+Table3[[#This Row],[Sys]]</f>
        <v>15.799999999999999</v>
      </c>
    </row>
    <row r="422" spans="1:6" x14ac:dyDescent="0.2">
      <c r="A422" t="s">
        <v>21</v>
      </c>
      <c r="B422" t="s">
        <v>19</v>
      </c>
      <c r="C422" t="s">
        <v>26</v>
      </c>
      <c r="D422">
        <v>6.38</v>
      </c>
      <c r="E422">
        <v>1.74</v>
      </c>
      <c r="F422">
        <f>Table3[[#This Row],[User]]+Table3[[#This Row],[Sys]]</f>
        <v>8.1199999999999992</v>
      </c>
    </row>
    <row r="423" spans="1:6" x14ac:dyDescent="0.2">
      <c r="A423" t="s">
        <v>21</v>
      </c>
      <c r="B423" t="s">
        <v>19</v>
      </c>
      <c r="C423" t="s">
        <v>27</v>
      </c>
      <c r="D423">
        <v>7.1</v>
      </c>
      <c r="E423">
        <v>1.6</v>
      </c>
      <c r="F423">
        <f>Table3[[#This Row],[User]]+Table3[[#This Row],[Sys]]</f>
        <v>8.6999999999999993</v>
      </c>
    </row>
    <row r="424" spans="1:6" x14ac:dyDescent="0.2">
      <c r="A424" t="s">
        <v>21</v>
      </c>
      <c r="B424" t="s">
        <v>19</v>
      </c>
      <c r="C424" t="s">
        <v>28</v>
      </c>
      <c r="D424">
        <v>16.149999999999999</v>
      </c>
      <c r="E424">
        <v>2.73</v>
      </c>
      <c r="F424">
        <f>Table3[[#This Row],[User]]+Table3[[#This Row],[Sys]]</f>
        <v>18.88</v>
      </c>
    </row>
    <row r="425" spans="1:6" x14ac:dyDescent="0.2">
      <c r="A425" t="s">
        <v>21</v>
      </c>
      <c r="B425" t="s">
        <v>19</v>
      </c>
      <c r="C425" t="s">
        <v>29</v>
      </c>
      <c r="D425">
        <v>16.12</v>
      </c>
      <c r="E425">
        <v>2.4700000000000002</v>
      </c>
      <c r="F425">
        <f>Table3[[#This Row],[User]]+Table3[[#This Row],[Sys]]</f>
        <v>18.59</v>
      </c>
    </row>
    <row r="426" spans="1:6" x14ac:dyDescent="0.2">
      <c r="A426" t="s">
        <v>21</v>
      </c>
      <c r="B426" t="s">
        <v>19</v>
      </c>
      <c r="C426" t="s">
        <v>30</v>
      </c>
      <c r="D426">
        <v>22.76</v>
      </c>
      <c r="E426">
        <v>4.83</v>
      </c>
      <c r="F426">
        <f>Table3[[#This Row],[User]]+Table3[[#This Row],[Sys]]</f>
        <v>27.590000000000003</v>
      </c>
    </row>
    <row r="427" spans="1:6" x14ac:dyDescent="0.2">
      <c r="A427" t="s">
        <v>21</v>
      </c>
      <c r="B427" t="s">
        <v>19</v>
      </c>
      <c r="C427" t="s">
        <v>31</v>
      </c>
      <c r="D427">
        <v>35.42</v>
      </c>
      <c r="E427">
        <v>5.78</v>
      </c>
      <c r="F427">
        <f>Table3[[#This Row],[User]]+Table3[[#This Row],[Sys]]</f>
        <v>41.2</v>
      </c>
    </row>
    <row r="428" spans="1:6" x14ac:dyDescent="0.2">
      <c r="A428" t="s">
        <v>21</v>
      </c>
      <c r="B428" t="s">
        <v>19</v>
      </c>
      <c r="C428" t="s">
        <v>22</v>
      </c>
      <c r="D428">
        <v>55.73</v>
      </c>
      <c r="E428">
        <v>9.01</v>
      </c>
      <c r="F428">
        <f>Table3[[#This Row],[User]]+Table3[[#This Row],[Sys]]</f>
        <v>64.739999999999995</v>
      </c>
    </row>
    <row r="429" spans="1:6" x14ac:dyDescent="0.2">
      <c r="A429" t="s">
        <v>21</v>
      </c>
      <c r="B429" t="s">
        <v>19</v>
      </c>
      <c r="C429" t="s">
        <v>23</v>
      </c>
      <c r="D429">
        <v>27.85</v>
      </c>
      <c r="E429">
        <v>6.8</v>
      </c>
      <c r="F429">
        <f>Table3[[#This Row],[User]]+Table3[[#This Row],[Sys]]</f>
        <v>34.65</v>
      </c>
    </row>
    <row r="430" spans="1:6" x14ac:dyDescent="0.2">
      <c r="A430" t="s">
        <v>21</v>
      </c>
      <c r="B430" t="s">
        <v>19</v>
      </c>
      <c r="C430" t="s">
        <v>24</v>
      </c>
      <c r="D430">
        <v>10.31</v>
      </c>
      <c r="E430">
        <v>2.29</v>
      </c>
      <c r="F430">
        <f>Table3[[#This Row],[User]]+Table3[[#This Row],[Sys]]</f>
        <v>12.600000000000001</v>
      </c>
    </row>
    <row r="431" spans="1:6" x14ac:dyDescent="0.2">
      <c r="A431" t="s">
        <v>21</v>
      </c>
      <c r="B431" t="s">
        <v>19</v>
      </c>
      <c r="C431" t="s">
        <v>25</v>
      </c>
      <c r="D431">
        <v>13.02</v>
      </c>
      <c r="E431">
        <v>2.68</v>
      </c>
      <c r="F431">
        <f>Table3[[#This Row],[User]]+Table3[[#This Row],[Sys]]</f>
        <v>15.7</v>
      </c>
    </row>
    <row r="432" spans="1:6" x14ac:dyDescent="0.2">
      <c r="A432" t="s">
        <v>21</v>
      </c>
      <c r="B432" t="s">
        <v>19</v>
      </c>
      <c r="C432" t="s">
        <v>26</v>
      </c>
      <c r="D432">
        <v>12.21</v>
      </c>
      <c r="E432">
        <v>1.98</v>
      </c>
      <c r="F432">
        <f>Table3[[#This Row],[User]]+Table3[[#This Row],[Sys]]</f>
        <v>14.190000000000001</v>
      </c>
    </row>
    <row r="433" spans="1:6" x14ac:dyDescent="0.2">
      <c r="A433" t="s">
        <v>21</v>
      </c>
      <c r="B433" t="s">
        <v>19</v>
      </c>
      <c r="C433" t="s">
        <v>27</v>
      </c>
      <c r="D433">
        <v>7.12</v>
      </c>
      <c r="E433">
        <v>1.72</v>
      </c>
      <c r="F433">
        <f>Table3[[#This Row],[User]]+Table3[[#This Row],[Sys]]</f>
        <v>8.84</v>
      </c>
    </row>
    <row r="434" spans="1:6" x14ac:dyDescent="0.2">
      <c r="A434" t="s">
        <v>21</v>
      </c>
      <c r="B434" t="s">
        <v>19</v>
      </c>
      <c r="C434" t="s">
        <v>28</v>
      </c>
      <c r="D434">
        <v>15.97</v>
      </c>
      <c r="E434">
        <v>2.78</v>
      </c>
      <c r="F434">
        <f>Table3[[#This Row],[User]]+Table3[[#This Row],[Sys]]</f>
        <v>18.75</v>
      </c>
    </row>
    <row r="435" spans="1:6" x14ac:dyDescent="0.2">
      <c r="A435" t="s">
        <v>21</v>
      </c>
      <c r="B435" t="s">
        <v>19</v>
      </c>
      <c r="C435" t="s">
        <v>29</v>
      </c>
      <c r="D435">
        <v>15.2</v>
      </c>
      <c r="E435">
        <v>2.37</v>
      </c>
      <c r="F435">
        <f>Table3[[#This Row],[User]]+Table3[[#This Row],[Sys]]</f>
        <v>17.57</v>
      </c>
    </row>
    <row r="436" spans="1:6" x14ac:dyDescent="0.2">
      <c r="A436" t="s">
        <v>21</v>
      </c>
      <c r="B436" t="s">
        <v>19</v>
      </c>
      <c r="C436" t="s">
        <v>30</v>
      </c>
      <c r="D436">
        <v>22.48</v>
      </c>
      <c r="E436">
        <v>4.9000000000000004</v>
      </c>
      <c r="F436">
        <f>Table3[[#This Row],[User]]+Table3[[#This Row],[Sys]]</f>
        <v>27.380000000000003</v>
      </c>
    </row>
    <row r="437" spans="1:6" x14ac:dyDescent="0.2">
      <c r="A437" t="s">
        <v>21</v>
      </c>
      <c r="B437" t="s">
        <v>19</v>
      </c>
      <c r="C437" t="s">
        <v>31</v>
      </c>
      <c r="D437">
        <v>36.97</v>
      </c>
      <c r="E437">
        <v>5.53</v>
      </c>
      <c r="F437">
        <f>Table3[[#This Row],[User]]+Table3[[#This Row],[Sys]]</f>
        <v>42.5</v>
      </c>
    </row>
    <row r="438" spans="1:6" x14ac:dyDescent="0.2">
      <c r="A438" t="s">
        <v>21</v>
      </c>
      <c r="B438" t="s">
        <v>19</v>
      </c>
      <c r="C438" t="s">
        <v>22</v>
      </c>
      <c r="D438">
        <v>35.85</v>
      </c>
      <c r="E438">
        <v>8.1999999999999993</v>
      </c>
      <c r="F438">
        <f>Table3[[#This Row],[User]]+Table3[[#This Row],[Sys]]</f>
        <v>44.05</v>
      </c>
    </row>
    <row r="439" spans="1:6" x14ac:dyDescent="0.2">
      <c r="A439" t="s">
        <v>21</v>
      </c>
      <c r="B439" t="s">
        <v>19</v>
      </c>
      <c r="C439" t="s">
        <v>23</v>
      </c>
      <c r="D439">
        <v>27.47</v>
      </c>
      <c r="E439">
        <v>6.66</v>
      </c>
      <c r="F439">
        <f>Table3[[#This Row],[User]]+Table3[[#This Row],[Sys]]</f>
        <v>34.129999999999995</v>
      </c>
    </row>
    <row r="440" spans="1:6" x14ac:dyDescent="0.2">
      <c r="A440" t="s">
        <v>21</v>
      </c>
      <c r="B440" t="s">
        <v>19</v>
      </c>
      <c r="C440" t="s">
        <v>24</v>
      </c>
      <c r="D440">
        <v>10.220000000000001</v>
      </c>
      <c r="E440">
        <v>2.23</v>
      </c>
      <c r="F440">
        <f>Table3[[#This Row],[User]]+Table3[[#This Row],[Sys]]</f>
        <v>12.450000000000001</v>
      </c>
    </row>
    <row r="441" spans="1:6" x14ac:dyDescent="0.2">
      <c r="A441" t="s">
        <v>21</v>
      </c>
      <c r="B441" t="s">
        <v>19</v>
      </c>
      <c r="C441" t="s">
        <v>25</v>
      </c>
      <c r="D441">
        <v>13.06</v>
      </c>
      <c r="E441">
        <v>2.68</v>
      </c>
      <c r="F441">
        <f>Table3[[#This Row],[User]]+Table3[[#This Row],[Sys]]</f>
        <v>15.74</v>
      </c>
    </row>
    <row r="442" spans="1:6" x14ac:dyDescent="0.2">
      <c r="A442" t="s">
        <v>21</v>
      </c>
      <c r="B442" t="s">
        <v>19</v>
      </c>
      <c r="C442" t="s">
        <v>26</v>
      </c>
      <c r="D442">
        <v>11.98</v>
      </c>
      <c r="E442">
        <v>2</v>
      </c>
      <c r="F442">
        <f>Table3[[#This Row],[User]]+Table3[[#This Row],[Sys]]</f>
        <v>13.98</v>
      </c>
    </row>
    <row r="443" spans="1:6" x14ac:dyDescent="0.2">
      <c r="A443" t="s">
        <v>21</v>
      </c>
      <c r="B443" t="s">
        <v>19</v>
      </c>
      <c r="C443" t="s">
        <v>27</v>
      </c>
      <c r="D443">
        <v>7.13</v>
      </c>
      <c r="E443">
        <v>1.79</v>
      </c>
      <c r="F443">
        <f>Table3[[#This Row],[User]]+Table3[[#This Row],[Sys]]</f>
        <v>8.92</v>
      </c>
    </row>
    <row r="444" spans="1:6" x14ac:dyDescent="0.2">
      <c r="A444" t="s">
        <v>21</v>
      </c>
      <c r="B444" t="s">
        <v>19</v>
      </c>
      <c r="C444" t="s">
        <v>28</v>
      </c>
      <c r="D444">
        <v>15.96</v>
      </c>
      <c r="E444">
        <v>2.77</v>
      </c>
      <c r="F444">
        <f>Table3[[#This Row],[User]]+Table3[[#This Row],[Sys]]</f>
        <v>18.73</v>
      </c>
    </row>
    <row r="445" spans="1:6" x14ac:dyDescent="0.2">
      <c r="A445" t="s">
        <v>21</v>
      </c>
      <c r="B445" t="s">
        <v>19</v>
      </c>
      <c r="C445" t="s">
        <v>29</v>
      </c>
      <c r="D445">
        <v>16.12</v>
      </c>
      <c r="E445">
        <v>2.4900000000000002</v>
      </c>
      <c r="F445">
        <f>Table3[[#This Row],[User]]+Table3[[#This Row],[Sys]]</f>
        <v>18.61</v>
      </c>
    </row>
    <row r="446" spans="1:6" x14ac:dyDescent="0.2">
      <c r="A446" t="s">
        <v>21</v>
      </c>
      <c r="B446" t="s">
        <v>19</v>
      </c>
      <c r="C446" t="s">
        <v>30</v>
      </c>
      <c r="D446">
        <v>22.51</v>
      </c>
      <c r="E446">
        <v>4.92</v>
      </c>
      <c r="F446">
        <f>Table3[[#This Row],[User]]+Table3[[#This Row],[Sys]]</f>
        <v>27.43</v>
      </c>
    </row>
    <row r="447" spans="1:6" x14ac:dyDescent="0.2">
      <c r="A447" t="s">
        <v>21</v>
      </c>
      <c r="B447" t="s">
        <v>19</v>
      </c>
      <c r="C447" t="s">
        <v>31</v>
      </c>
      <c r="D447">
        <v>34.119999999999997</v>
      </c>
      <c r="E447">
        <v>6.43</v>
      </c>
      <c r="F447">
        <f>Table3[[#This Row],[User]]+Table3[[#This Row],[Sys]]</f>
        <v>40.549999999999997</v>
      </c>
    </row>
    <row r="448" spans="1:6" x14ac:dyDescent="0.2">
      <c r="A448" t="s">
        <v>21</v>
      </c>
      <c r="B448" t="s">
        <v>19</v>
      </c>
      <c r="C448" t="s">
        <v>22</v>
      </c>
      <c r="D448">
        <v>36.07</v>
      </c>
      <c r="E448">
        <v>8.1999999999999993</v>
      </c>
      <c r="F448">
        <f>Table3[[#This Row],[User]]+Table3[[#This Row],[Sys]]</f>
        <v>44.269999999999996</v>
      </c>
    </row>
    <row r="449" spans="1:6" x14ac:dyDescent="0.2">
      <c r="A449" t="s">
        <v>21</v>
      </c>
      <c r="B449" t="s">
        <v>19</v>
      </c>
      <c r="C449" t="s">
        <v>23</v>
      </c>
      <c r="D449">
        <v>27.53</v>
      </c>
      <c r="E449">
        <v>6.84</v>
      </c>
      <c r="F449">
        <f>Table3[[#This Row],[User]]+Table3[[#This Row],[Sys]]</f>
        <v>34.370000000000005</v>
      </c>
    </row>
    <row r="450" spans="1:6" x14ac:dyDescent="0.2">
      <c r="A450" t="s">
        <v>21</v>
      </c>
      <c r="B450" t="s">
        <v>19</v>
      </c>
      <c r="C450" t="s">
        <v>24</v>
      </c>
      <c r="D450">
        <v>10.210000000000001</v>
      </c>
      <c r="E450">
        <v>2.21</v>
      </c>
      <c r="F450">
        <f>Table3[[#This Row],[User]]+Table3[[#This Row],[Sys]]</f>
        <v>12.420000000000002</v>
      </c>
    </row>
    <row r="451" spans="1:6" x14ac:dyDescent="0.2">
      <c r="A451" t="s">
        <v>21</v>
      </c>
      <c r="B451" t="s">
        <v>19</v>
      </c>
      <c r="C451" t="s">
        <v>25</v>
      </c>
      <c r="D451">
        <v>13.01</v>
      </c>
      <c r="E451">
        <v>2.68</v>
      </c>
      <c r="F451">
        <f>Table3[[#This Row],[User]]+Table3[[#This Row],[Sys]]</f>
        <v>15.69</v>
      </c>
    </row>
    <row r="452" spans="1:6" x14ac:dyDescent="0.2">
      <c r="A452" t="s">
        <v>21</v>
      </c>
      <c r="B452" t="s">
        <v>19</v>
      </c>
      <c r="C452" t="s">
        <v>26</v>
      </c>
      <c r="D452">
        <v>6.25</v>
      </c>
      <c r="E452">
        <v>1.72</v>
      </c>
      <c r="F452">
        <f>Table3[[#This Row],[User]]+Table3[[#This Row],[Sys]]</f>
        <v>7.97</v>
      </c>
    </row>
    <row r="453" spans="1:6" x14ac:dyDescent="0.2">
      <c r="A453" t="s">
        <v>21</v>
      </c>
      <c r="B453" t="s">
        <v>19</v>
      </c>
      <c r="C453" t="s">
        <v>27</v>
      </c>
      <c r="D453">
        <v>7.13</v>
      </c>
      <c r="E453">
        <v>1.8</v>
      </c>
      <c r="F453">
        <f>Table3[[#This Row],[User]]+Table3[[#This Row],[Sys]]</f>
        <v>8.93</v>
      </c>
    </row>
    <row r="454" spans="1:6" x14ac:dyDescent="0.2">
      <c r="A454" t="s">
        <v>21</v>
      </c>
      <c r="B454" t="s">
        <v>19</v>
      </c>
      <c r="C454" t="s">
        <v>28</v>
      </c>
      <c r="D454">
        <v>15.61</v>
      </c>
      <c r="E454">
        <v>2.68</v>
      </c>
      <c r="F454">
        <f>Table3[[#This Row],[User]]+Table3[[#This Row],[Sys]]</f>
        <v>18.29</v>
      </c>
    </row>
    <row r="455" spans="1:6" x14ac:dyDescent="0.2">
      <c r="A455" t="s">
        <v>21</v>
      </c>
      <c r="B455" t="s">
        <v>19</v>
      </c>
      <c r="C455" t="s">
        <v>29</v>
      </c>
      <c r="D455">
        <v>15.91</v>
      </c>
      <c r="E455">
        <v>2.4500000000000002</v>
      </c>
      <c r="F455">
        <f>Table3[[#This Row],[User]]+Table3[[#This Row],[Sys]]</f>
        <v>18.36</v>
      </c>
    </row>
    <row r="456" spans="1:6" x14ac:dyDescent="0.2">
      <c r="A456" t="s">
        <v>21</v>
      </c>
      <c r="B456" t="s">
        <v>19</v>
      </c>
      <c r="C456" t="s">
        <v>30</v>
      </c>
      <c r="D456">
        <v>22.71</v>
      </c>
      <c r="E456">
        <v>5.04</v>
      </c>
      <c r="F456">
        <f>Table3[[#This Row],[User]]+Table3[[#This Row],[Sys]]</f>
        <v>27.75</v>
      </c>
    </row>
    <row r="457" spans="1:6" x14ac:dyDescent="0.2">
      <c r="A457" t="s">
        <v>21</v>
      </c>
      <c r="B457" t="s">
        <v>19</v>
      </c>
      <c r="C457" t="s">
        <v>31</v>
      </c>
      <c r="D457">
        <v>36.76</v>
      </c>
      <c r="E457">
        <v>5.62</v>
      </c>
      <c r="F457">
        <f>Table3[[#This Row],[User]]+Table3[[#This Row],[Sys]]</f>
        <v>42.379999999999995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500EDD-2FC2-5D4E-9336-C1872CA49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prove</vt:lpstr>
      <vt:lpstr>precomp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  Felix</dc:creator>
  <cp:lastModifiedBy>Felix Emanuel Linker</cp:lastModifiedBy>
  <dcterms:created xsi:type="dcterms:W3CDTF">2026-02-10T17:04:11Z</dcterms:created>
  <dcterms:modified xsi:type="dcterms:W3CDTF">2026-09-25T10:49:23Z</dcterms:modified>
</cp:coreProperties>
</file>